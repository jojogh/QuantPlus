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checkCompatibility="1" defaultThemeVersion="124226"/>
  <bookViews>
    <workbookView xWindow="840" yWindow="540" windowWidth="15600" windowHeight="7200"/>
  </bookViews>
  <sheets>
    <sheet name="Collateral Pool" sheetId="1" r:id="rId1"/>
    <sheet name="Bonds and Waterfalls" sheetId="4" r:id="rId2"/>
    <sheet name="template" sheetId="5" r:id="rId3"/>
    <sheet name="Sheet1" sheetId="6" r:id="rId4"/>
  </sheets>
  <functionGroups builtInGroupCount="17"/>
  <externalReferences>
    <externalReference r:id="rId5"/>
    <externalReference r:id="rId6"/>
  </externalReferences>
  <definedNames>
    <definedName name="_xlnm._FilterDatabase" localSheetId="0" hidden="1">'Collateral Pool'!$E$5</definedName>
    <definedName name="balance">[1]Collateral!$C$19</definedName>
    <definedName name="Cleanup_Call_pct" localSheetId="1">#REF!</definedName>
    <definedName name="Cleanup_Call_pct">#REF!</definedName>
    <definedName name="Fitch_Scenario">'[2]Fitch Runs'!$A$1</definedName>
    <definedName name="netcoupon">[1]Collateral!$C$8</definedName>
    <definedName name="Servicer_Fees" localSheetId="1">#REF!</definedName>
    <definedName name="Servicer_Fees">#REF!</definedName>
    <definedName name="solver_adj" localSheetId="1" hidden="1">'Bonds and Waterfalls'!$B$6</definedName>
    <definedName name="solver_adj" localSheetId="0" hidden="1">'Collateral Pool'!$K$10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2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2</definedName>
    <definedName name="solver_nod" localSheetId="1" hidden="1">2147483647</definedName>
    <definedName name="solver_nod" localSheetId="0" hidden="1">2147483647</definedName>
    <definedName name="solver_num" localSheetId="1" hidden="1">0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opt" localSheetId="1" hidden="1">'Bonds and Waterfalls'!$K$5</definedName>
    <definedName name="solver_opt" localSheetId="0" hidden="1">'Collateral Pool'!$E$5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3</definedName>
    <definedName name="solver_typ" localSheetId="0" hidden="1">3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  <definedName name="SP_Scenario">'[2]SP Runs'!$A$1</definedName>
    <definedName name="Temp" localSheetId="1">'Bonds and Waterfalls'!$G$4</definedName>
    <definedName name="Temp" localSheetId="0">'Collateral Pool'!$C$9</definedName>
    <definedName name="UseFitch">'[2]Indiv. Scenarios'!$D$7</definedName>
    <definedName name="UseSP">'[2]Indiv. Scenarios'!$D$6</definedName>
    <definedName name="UseUserDefined">'[2]Indiv. Scenarios'!$D$8</definedName>
    <definedName name="WALS">'[2]Indiv. Scenarios'!$H$28</definedName>
  </definedNames>
  <calcPr calcId="145621"/>
</workbook>
</file>

<file path=xl/calcChain.xml><?xml version="1.0" encoding="utf-8"?>
<calcChain xmlns="http://schemas.openxmlformats.org/spreadsheetml/2006/main">
  <c r="M16" i="1" l="1"/>
  <c r="G10" i="1" l="1"/>
  <c r="I15" i="1" s="1"/>
  <c r="L33" i="1" l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M42" i="1"/>
  <c r="M43" i="1"/>
  <c r="M44" i="1"/>
  <c r="H42" i="1"/>
  <c r="H43" i="1"/>
  <c r="H44" i="1"/>
  <c r="M17" i="1" l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I6" i="4" l="1"/>
  <c r="H5" i="4"/>
  <c r="H4" i="4"/>
  <c r="H3" i="4"/>
  <c r="H16" i="1"/>
  <c r="H17" i="1"/>
  <c r="H6" i="4" l="1"/>
  <c r="J3" i="4"/>
  <c r="J4" i="4"/>
  <c r="Y15" i="4" l="1"/>
  <c r="S15" i="4"/>
  <c r="K15" i="4"/>
  <c r="E16" i="4" l="1"/>
  <c r="F16" i="4" s="1"/>
  <c r="J15" i="4"/>
  <c r="M16" i="4"/>
  <c r="N16" i="4" s="1"/>
  <c r="R15" i="4"/>
  <c r="U16" i="4"/>
  <c r="AD16" i="4" s="1"/>
  <c r="X15" i="4"/>
  <c r="C15" i="4"/>
  <c r="C16" i="4" s="1"/>
  <c r="B17" i="4"/>
  <c r="B18" i="4" s="1"/>
  <c r="B19" i="4" l="1"/>
  <c r="C18" i="4"/>
  <c r="C17" i="4"/>
  <c r="B20" i="4" l="1"/>
  <c r="C19" i="4"/>
  <c r="C15" i="1"/>
  <c r="S15" i="1"/>
  <c r="B17" i="1"/>
  <c r="C16" i="1" l="1"/>
  <c r="K16" i="1"/>
  <c r="AA16" i="4" s="1"/>
  <c r="B21" i="4"/>
  <c r="C20" i="4"/>
  <c r="E16" i="1"/>
  <c r="B18" i="1"/>
  <c r="C17" i="1"/>
  <c r="N42" i="1" l="1"/>
  <c r="R42" i="1" s="1"/>
  <c r="N43" i="1"/>
  <c r="R43" i="1" s="1"/>
  <c r="N44" i="1"/>
  <c r="R44" i="1" s="1"/>
  <c r="N36" i="1"/>
  <c r="N40" i="1"/>
  <c r="N38" i="1"/>
  <c r="N37" i="1"/>
  <c r="N41" i="1"/>
  <c r="N34" i="1"/>
  <c r="N35" i="1"/>
  <c r="N39" i="1"/>
  <c r="N21" i="1"/>
  <c r="N18" i="1"/>
  <c r="N17" i="1"/>
  <c r="N32" i="1"/>
  <c r="N23" i="1"/>
  <c r="N29" i="1"/>
  <c r="N19" i="1"/>
  <c r="N33" i="1"/>
  <c r="N26" i="1"/>
  <c r="N20" i="1"/>
  <c r="N25" i="1"/>
  <c r="N31" i="1"/>
  <c r="N28" i="1"/>
  <c r="N22" i="1"/>
  <c r="N16" i="1"/>
  <c r="Q16" i="1" s="1"/>
  <c r="N30" i="1"/>
  <c r="N24" i="1"/>
  <c r="N27" i="1"/>
  <c r="I16" i="1"/>
  <c r="B22" i="4"/>
  <c r="C21" i="4"/>
  <c r="B19" i="1"/>
  <c r="C18" i="1"/>
  <c r="R16" i="1" l="1"/>
  <c r="O16" i="1"/>
  <c r="AH16" i="4"/>
  <c r="B23" i="4"/>
  <c r="C22" i="4"/>
  <c r="H18" i="1"/>
  <c r="E17" i="1"/>
  <c r="B20" i="1"/>
  <c r="C19" i="1"/>
  <c r="AI16" i="4" l="1"/>
  <c r="AB16" i="4" s="1"/>
  <c r="P16" i="1"/>
  <c r="S16" i="1" s="1"/>
  <c r="I17" i="1"/>
  <c r="E18" i="1" s="1"/>
  <c r="R17" i="1"/>
  <c r="B24" i="4"/>
  <c r="C23" i="4"/>
  <c r="H19" i="1"/>
  <c r="B21" i="1"/>
  <c r="C20" i="1"/>
  <c r="K17" i="1" l="1"/>
  <c r="AA17" i="4" s="1"/>
  <c r="AG16" i="4"/>
  <c r="AJ16" i="4" s="1"/>
  <c r="G16" i="4" s="1"/>
  <c r="I18" i="1"/>
  <c r="E19" i="1" s="1"/>
  <c r="B25" i="4"/>
  <c r="C24" i="4"/>
  <c r="H20" i="1"/>
  <c r="B22" i="1"/>
  <c r="C21" i="1"/>
  <c r="O17" i="1" l="1"/>
  <c r="P17" i="1" s="1"/>
  <c r="AG17" i="4" s="1"/>
  <c r="Q17" i="1"/>
  <c r="AH17" i="4" s="1"/>
  <c r="I19" i="1"/>
  <c r="B26" i="4"/>
  <c r="C25" i="4"/>
  <c r="B23" i="1"/>
  <c r="C22" i="1"/>
  <c r="H21" i="1"/>
  <c r="H16" i="4" l="1"/>
  <c r="AI17" i="4"/>
  <c r="AB17" i="4" s="1"/>
  <c r="S17" i="1"/>
  <c r="K18" i="1" s="1"/>
  <c r="AA18" i="4" s="1"/>
  <c r="R18" i="1"/>
  <c r="E20" i="1"/>
  <c r="B27" i="4"/>
  <c r="C26" i="4"/>
  <c r="H22" i="1"/>
  <c r="B24" i="1"/>
  <c r="C23" i="1"/>
  <c r="O18" i="1" l="1"/>
  <c r="Q18" i="1"/>
  <c r="AH18" i="4" s="1"/>
  <c r="I20" i="1"/>
  <c r="B28" i="4"/>
  <c r="C27" i="4"/>
  <c r="H23" i="1"/>
  <c r="B25" i="1"/>
  <c r="C24" i="1"/>
  <c r="P18" i="1" l="1"/>
  <c r="S18" i="1" s="1"/>
  <c r="K19" i="1" s="1"/>
  <c r="AA19" i="4" s="1"/>
  <c r="AI18" i="4"/>
  <c r="AB18" i="4" s="1"/>
  <c r="R19" i="1"/>
  <c r="E21" i="1"/>
  <c r="B29" i="4"/>
  <c r="C28" i="4"/>
  <c r="H24" i="1"/>
  <c r="B26" i="1"/>
  <c r="C25" i="1"/>
  <c r="AG18" i="4" l="1"/>
  <c r="O19" i="1"/>
  <c r="Q19" i="1"/>
  <c r="AH19" i="4" s="1"/>
  <c r="I21" i="1"/>
  <c r="B30" i="4"/>
  <c r="C29" i="4"/>
  <c r="H25" i="1"/>
  <c r="B27" i="1"/>
  <c r="C26" i="1"/>
  <c r="P19" i="1" l="1"/>
  <c r="S19" i="1" s="1"/>
  <c r="K20" i="1" s="1"/>
  <c r="AA20" i="4" s="1"/>
  <c r="AI19" i="4"/>
  <c r="AB19" i="4" s="1"/>
  <c r="R20" i="1"/>
  <c r="E22" i="1"/>
  <c r="B31" i="4"/>
  <c r="C30" i="4"/>
  <c r="H26" i="1"/>
  <c r="C27" i="1"/>
  <c r="B28" i="1"/>
  <c r="AG19" i="4" l="1"/>
  <c r="O20" i="1"/>
  <c r="Q20" i="1"/>
  <c r="AH20" i="4" s="1"/>
  <c r="I22" i="1"/>
  <c r="B32" i="4"/>
  <c r="C31" i="4"/>
  <c r="C28" i="1"/>
  <c r="B29" i="1"/>
  <c r="H27" i="1"/>
  <c r="AI20" i="4" l="1"/>
  <c r="AB20" i="4" s="1"/>
  <c r="P20" i="1"/>
  <c r="E23" i="1"/>
  <c r="B33" i="4"/>
  <c r="C32" i="4"/>
  <c r="H28" i="1"/>
  <c r="C29" i="1"/>
  <c r="B30" i="1"/>
  <c r="S20" i="1" l="1"/>
  <c r="K21" i="1" s="1"/>
  <c r="AA21" i="4" s="1"/>
  <c r="AG20" i="4"/>
  <c r="R21" i="1"/>
  <c r="I23" i="1"/>
  <c r="C33" i="4"/>
  <c r="B34" i="4"/>
  <c r="C30" i="1"/>
  <c r="B31" i="1"/>
  <c r="H29" i="1"/>
  <c r="Q21" i="1" l="1"/>
  <c r="AH21" i="4" s="1"/>
  <c r="O21" i="1"/>
  <c r="E24" i="1"/>
  <c r="B35" i="4"/>
  <c r="C34" i="4"/>
  <c r="C31" i="1"/>
  <c r="B32" i="1"/>
  <c r="H30" i="1"/>
  <c r="AI21" i="4" l="1"/>
  <c r="AB21" i="4" s="1"/>
  <c r="P21" i="1"/>
  <c r="S21" i="1" s="1"/>
  <c r="I24" i="1"/>
  <c r="B36" i="4"/>
  <c r="C35" i="4"/>
  <c r="C32" i="1"/>
  <c r="B33" i="1"/>
  <c r="H31" i="1"/>
  <c r="AG21" i="4" l="1"/>
  <c r="K22" i="1"/>
  <c r="AA22" i="4" s="1"/>
  <c r="E25" i="1"/>
  <c r="B37" i="4"/>
  <c r="C36" i="4"/>
  <c r="H32" i="1"/>
  <c r="C33" i="1"/>
  <c r="B34" i="1"/>
  <c r="R22" i="1" l="1"/>
  <c r="I25" i="1"/>
  <c r="B38" i="4"/>
  <c r="C37" i="4"/>
  <c r="H33" i="1"/>
  <c r="C34" i="1"/>
  <c r="B35" i="1"/>
  <c r="Q22" i="1" l="1"/>
  <c r="AH22" i="4" s="1"/>
  <c r="O22" i="1"/>
  <c r="E26" i="1"/>
  <c r="B39" i="4"/>
  <c r="C38" i="4"/>
  <c r="C35" i="1"/>
  <c r="B36" i="1"/>
  <c r="H34" i="1"/>
  <c r="AI22" i="4" l="1"/>
  <c r="AB22" i="4" s="1"/>
  <c r="P22" i="1"/>
  <c r="I26" i="1"/>
  <c r="B40" i="4"/>
  <c r="C39" i="4"/>
  <c r="C36" i="1"/>
  <c r="B37" i="1"/>
  <c r="H35" i="1"/>
  <c r="S22" i="1" l="1"/>
  <c r="K23" i="1" s="1"/>
  <c r="AA23" i="4" s="1"/>
  <c r="AG22" i="4"/>
  <c r="E27" i="1"/>
  <c r="B41" i="4"/>
  <c r="B42" i="4" s="1"/>
  <c r="C40" i="4"/>
  <c r="H36" i="1"/>
  <c r="C37" i="1"/>
  <c r="B38" i="1"/>
  <c r="C42" i="4" l="1"/>
  <c r="B43" i="4"/>
  <c r="Q23" i="1"/>
  <c r="AH23" i="4" s="1"/>
  <c r="R23" i="1"/>
  <c r="O23" i="1"/>
  <c r="I27" i="1"/>
  <c r="C41" i="4"/>
  <c r="H37" i="1"/>
  <c r="C38" i="1"/>
  <c r="B39" i="1"/>
  <c r="C43" i="4" l="1"/>
  <c r="B44" i="4"/>
  <c r="C44" i="4" s="1"/>
  <c r="AI23" i="4"/>
  <c r="AB23" i="4" s="1"/>
  <c r="P23" i="1"/>
  <c r="E28" i="1"/>
  <c r="H38" i="1"/>
  <c r="C39" i="1"/>
  <c r="B40" i="1"/>
  <c r="S23" i="1" l="1"/>
  <c r="K24" i="1" s="1"/>
  <c r="AA24" i="4" s="1"/>
  <c r="AG23" i="4"/>
  <c r="R24" i="1"/>
  <c r="I28" i="1"/>
  <c r="C40" i="1"/>
  <c r="B41" i="1"/>
  <c r="B42" i="1" s="1"/>
  <c r="H39" i="1"/>
  <c r="B43" i="1" l="1"/>
  <c r="C42" i="1"/>
  <c r="Q24" i="1"/>
  <c r="AH24" i="4" s="1"/>
  <c r="O24" i="1"/>
  <c r="E29" i="1"/>
  <c r="H40" i="1"/>
  <c r="C41" i="1"/>
  <c r="B44" i="1" l="1"/>
  <c r="C44" i="1" s="1"/>
  <c r="C43" i="1"/>
  <c r="AI24" i="4"/>
  <c r="AB24" i="4" s="1"/>
  <c r="P24" i="1"/>
  <c r="S24" i="1" s="1"/>
  <c r="I29" i="1"/>
  <c r="H41" i="1"/>
  <c r="AG24" i="4" l="1"/>
  <c r="K25" i="1"/>
  <c r="AA25" i="4" s="1"/>
  <c r="E30" i="1"/>
  <c r="R25" i="1" l="1"/>
  <c r="I30" i="1"/>
  <c r="Q25" i="1" l="1"/>
  <c r="AH25" i="4" s="1"/>
  <c r="O25" i="1"/>
  <c r="E31" i="1"/>
  <c r="AI25" i="4" l="1"/>
  <c r="AB25" i="4" s="1"/>
  <c r="P25" i="1"/>
  <c r="I31" i="1"/>
  <c r="S25" i="1" l="1"/>
  <c r="K26" i="1" s="1"/>
  <c r="AA26" i="4" s="1"/>
  <c r="AG25" i="4"/>
  <c r="R26" i="1"/>
  <c r="E32" i="1"/>
  <c r="Q26" i="1" l="1"/>
  <c r="AH26" i="4" s="1"/>
  <c r="O26" i="1"/>
  <c r="I32" i="1"/>
  <c r="AI26" i="4" l="1"/>
  <c r="AB26" i="4" s="1"/>
  <c r="P26" i="1"/>
  <c r="S26" i="1" s="1"/>
  <c r="R27" i="1"/>
  <c r="E33" i="1"/>
  <c r="K27" i="1" l="1"/>
  <c r="AA27" i="4" s="1"/>
  <c r="AG26" i="4"/>
  <c r="I33" i="1"/>
  <c r="O27" i="1" l="1"/>
  <c r="Q27" i="1"/>
  <c r="AH27" i="4" s="1"/>
  <c r="R28" i="1"/>
  <c r="E34" i="1"/>
  <c r="AI27" i="4" l="1"/>
  <c r="AB27" i="4" s="1"/>
  <c r="P27" i="1"/>
  <c r="AG27" i="4" s="1"/>
  <c r="I34" i="1"/>
  <c r="S27" i="1" l="1"/>
  <c r="K28" i="1" s="1"/>
  <c r="AA28" i="4" s="1"/>
  <c r="E35" i="1"/>
  <c r="O28" i="1" l="1"/>
  <c r="P28" i="1" s="1"/>
  <c r="S28" i="1" s="1"/>
  <c r="Q28" i="1"/>
  <c r="AH28" i="4" s="1"/>
  <c r="R29" i="1"/>
  <c r="I35" i="1"/>
  <c r="AI28" i="4" l="1"/>
  <c r="AB28" i="4" s="1"/>
  <c r="AG28" i="4"/>
  <c r="K29" i="1"/>
  <c r="AA29" i="4" s="1"/>
  <c r="E36" i="1"/>
  <c r="Q29" i="1" l="1"/>
  <c r="AH29" i="4" s="1"/>
  <c r="O29" i="1"/>
  <c r="P29" i="1" s="1"/>
  <c r="I36" i="1"/>
  <c r="AI29" i="4" l="1"/>
  <c r="AB29" i="4" s="1"/>
  <c r="S29" i="1"/>
  <c r="K30" i="1" s="1"/>
  <c r="AA30" i="4" s="1"/>
  <c r="AG29" i="4"/>
  <c r="R30" i="1"/>
  <c r="E37" i="1"/>
  <c r="O30" i="1" l="1"/>
  <c r="Q30" i="1"/>
  <c r="AH30" i="4" s="1"/>
  <c r="I37" i="1"/>
  <c r="AI30" i="4" l="1"/>
  <c r="AB30" i="4" s="1"/>
  <c r="P30" i="1"/>
  <c r="S30" i="1" s="1"/>
  <c r="R31" i="1"/>
  <c r="E38" i="1"/>
  <c r="K31" i="1" l="1"/>
  <c r="AA31" i="4" s="1"/>
  <c r="AG30" i="4"/>
  <c r="I38" i="1"/>
  <c r="O31" i="1" l="1"/>
  <c r="P31" i="1" s="1"/>
  <c r="Q31" i="1"/>
  <c r="AH31" i="4" s="1"/>
  <c r="R32" i="1"/>
  <c r="E39" i="1"/>
  <c r="S31" i="1" l="1"/>
  <c r="K32" i="1" s="1"/>
  <c r="AA32" i="4" s="1"/>
  <c r="AI31" i="4"/>
  <c r="AB31" i="4" s="1"/>
  <c r="AG31" i="4"/>
  <c r="I39" i="1"/>
  <c r="Q32" i="1" l="1"/>
  <c r="AH32" i="4" s="1"/>
  <c r="O32" i="1"/>
  <c r="R33" i="1"/>
  <c r="E40" i="1"/>
  <c r="AI32" i="4" l="1"/>
  <c r="AB32" i="4" s="1"/>
  <c r="P32" i="1"/>
  <c r="I40" i="1"/>
  <c r="AG32" i="4" l="1"/>
  <c r="S32" i="1"/>
  <c r="K33" i="1" s="1"/>
  <c r="AA33" i="4" s="1"/>
  <c r="E41" i="1"/>
  <c r="Q33" i="1" l="1"/>
  <c r="AH33" i="4" s="1"/>
  <c r="O33" i="1"/>
  <c r="R34" i="1"/>
  <c r="R35" i="1"/>
  <c r="I41" i="1"/>
  <c r="E42" i="1" s="1"/>
  <c r="I42" i="1" l="1"/>
  <c r="E43" i="1" s="1"/>
  <c r="AI33" i="4"/>
  <c r="AB33" i="4" s="1"/>
  <c r="P33" i="1"/>
  <c r="AG33" i="4" s="1"/>
  <c r="I43" i="1" l="1"/>
  <c r="E44" i="1" s="1"/>
  <c r="S33" i="1"/>
  <c r="K34" i="1" s="1"/>
  <c r="AA34" i="4" s="1"/>
  <c r="I44" i="1" l="1"/>
  <c r="O34" i="1"/>
  <c r="P34" i="1" s="1"/>
  <c r="AG34" i="4" s="1"/>
  <c r="Q34" i="1"/>
  <c r="AH34" i="4" s="1"/>
  <c r="R36" i="1"/>
  <c r="S34" i="1" l="1"/>
  <c r="K35" i="1" s="1"/>
  <c r="AA35" i="4" s="1"/>
  <c r="AI34" i="4"/>
  <c r="AB34" i="4" s="1"/>
  <c r="Q35" i="1" l="1"/>
  <c r="AH35" i="4" s="1"/>
  <c r="O35" i="1"/>
  <c r="P35" i="1" s="1"/>
  <c r="R37" i="1"/>
  <c r="AI35" i="4" l="1"/>
  <c r="AB35" i="4" s="1"/>
  <c r="S35" i="1"/>
  <c r="K36" i="1" s="1"/>
  <c r="AA36" i="4" s="1"/>
  <c r="AG35" i="4"/>
  <c r="Q36" i="1" l="1"/>
  <c r="AH36" i="4" s="1"/>
  <c r="O36" i="1"/>
  <c r="P36" i="1" s="1"/>
  <c r="AI36" i="4" l="1"/>
  <c r="AB36" i="4" s="1"/>
  <c r="S36" i="1"/>
  <c r="K37" i="1" s="1"/>
  <c r="AA37" i="4" s="1"/>
  <c r="AG36" i="4"/>
  <c r="R38" i="1"/>
  <c r="O37" i="1" l="1"/>
  <c r="P37" i="1" s="1"/>
  <c r="Q37" i="1"/>
  <c r="AH37" i="4" s="1"/>
  <c r="AI37" i="4" l="1"/>
  <c r="AB37" i="4" s="1"/>
  <c r="AG37" i="4"/>
  <c r="S37" i="1"/>
  <c r="K38" i="1" s="1"/>
  <c r="AA38" i="4" s="1"/>
  <c r="R39" i="1"/>
  <c r="Q38" i="1" l="1"/>
  <c r="AH38" i="4" s="1"/>
  <c r="O38" i="1"/>
  <c r="P38" i="1" s="1"/>
  <c r="AG38" i="4" s="1"/>
  <c r="AI38" i="4" l="1"/>
  <c r="AB38" i="4" s="1"/>
  <c r="S38" i="1"/>
  <c r="K39" i="1" s="1"/>
  <c r="AA39" i="4" s="1"/>
  <c r="O39" i="1" l="1"/>
  <c r="Q39" i="1"/>
  <c r="AH39" i="4" s="1"/>
  <c r="R40" i="1"/>
  <c r="AI39" i="4" l="1"/>
  <c r="AB39" i="4" s="1"/>
  <c r="P39" i="1"/>
  <c r="R41" i="1"/>
  <c r="AG39" i="4" l="1"/>
  <c r="S39" i="1"/>
  <c r="K40" i="1" s="1"/>
  <c r="AA40" i="4" s="1"/>
  <c r="O40" i="1" l="1"/>
  <c r="P40" i="1" s="1"/>
  <c r="Q40" i="1"/>
  <c r="AH40" i="4" s="1"/>
  <c r="AG40" i="4" l="1"/>
  <c r="S40" i="1"/>
  <c r="K41" i="1" s="1"/>
  <c r="AA41" i="4" s="1"/>
  <c r="AI40" i="4"/>
  <c r="AB40" i="4" s="1"/>
  <c r="Q41" i="1" l="1"/>
  <c r="AH41" i="4" s="1"/>
  <c r="O41" i="1"/>
  <c r="P41" i="1" s="1"/>
  <c r="S41" i="1" l="1"/>
  <c r="K42" i="1" s="1"/>
  <c r="AA42" i="4" s="1"/>
  <c r="AI41" i="4"/>
  <c r="AB41" i="4" s="1"/>
  <c r="AG41" i="4"/>
  <c r="O42" i="1" l="1"/>
  <c r="Q42" i="1"/>
  <c r="AH42" i="4" s="1"/>
  <c r="AI42" i="4" l="1"/>
  <c r="AB42" i="4" s="1"/>
  <c r="P42" i="1"/>
  <c r="S42" i="1" s="1"/>
  <c r="K43" i="1" s="1"/>
  <c r="AA43" i="4" s="1"/>
  <c r="Q43" i="1" l="1"/>
  <c r="AH43" i="4" s="1"/>
  <c r="O43" i="1"/>
  <c r="P43" i="1" s="1"/>
  <c r="S43" i="1" s="1"/>
  <c r="K44" i="1" s="1"/>
  <c r="AA44" i="4" s="1"/>
  <c r="AG42" i="4"/>
  <c r="AI43" i="4" l="1"/>
  <c r="AB43" i="4" s="1"/>
  <c r="AG43" i="4"/>
  <c r="O44" i="1"/>
  <c r="Q44" i="1"/>
  <c r="AH44" i="4" s="1"/>
  <c r="AI44" i="4" l="1"/>
  <c r="AB44" i="4" s="1"/>
  <c r="P44" i="1"/>
  <c r="S44" i="1" s="1"/>
  <c r="AG44" i="4" l="1"/>
  <c r="AK16" i="4" l="1"/>
  <c r="O16" i="4" l="1"/>
  <c r="P16" i="4" s="1"/>
  <c r="AL16" i="4"/>
  <c r="V16" i="4" s="1"/>
  <c r="AE16" i="4" l="1"/>
  <c r="AM16" i="4" s="1"/>
  <c r="AN16" i="4" s="1"/>
  <c r="Q16" i="4" s="1"/>
  <c r="S16" i="4" l="1"/>
  <c r="M17" i="4" s="1"/>
  <c r="R16" i="4"/>
  <c r="AO16" i="4"/>
  <c r="W16" i="4" s="1"/>
  <c r="I16" i="4"/>
  <c r="K16" i="4" l="1"/>
  <c r="E17" i="4" s="1"/>
  <c r="J16" i="4"/>
  <c r="Y16" i="4"/>
  <c r="U17" i="4" s="1"/>
  <c r="X16" i="4"/>
  <c r="N17" i="4"/>
  <c r="AD17" i="4" l="1"/>
  <c r="F17" i="4"/>
  <c r="AJ17" i="4" l="1"/>
  <c r="G17" i="4" s="1"/>
  <c r="AK17" i="4" l="1"/>
  <c r="O17" i="4" s="1"/>
  <c r="P17" i="4" l="1"/>
  <c r="AL17" i="4"/>
  <c r="V17" i="4" s="1"/>
  <c r="H17" i="4"/>
  <c r="AE17" i="4" l="1"/>
  <c r="AM17" i="4" s="1"/>
  <c r="I17" i="4" l="1"/>
  <c r="AN17" i="4"/>
  <c r="Q17" i="4" s="1"/>
  <c r="K17" i="4" l="1"/>
  <c r="E18" i="4" s="1"/>
  <c r="J17" i="4"/>
  <c r="S17" i="4"/>
  <c r="M18" i="4" s="1"/>
  <c r="R17" i="4"/>
  <c r="AO17" i="4"/>
  <c r="W17" i="4" s="1"/>
  <c r="Y17" i="4" l="1"/>
  <c r="U18" i="4" s="1"/>
  <c r="X17" i="4"/>
  <c r="N18" i="4"/>
  <c r="F18" i="4"/>
  <c r="AJ18" i="4" l="1"/>
  <c r="G18" i="4" s="1"/>
  <c r="AD18" i="4"/>
  <c r="AQ18" i="4" l="1"/>
  <c r="AK18" i="4"/>
  <c r="O18" i="4" s="1"/>
  <c r="P18" i="4" l="1"/>
  <c r="H18" i="4"/>
  <c r="AL18" i="4"/>
  <c r="V18" i="4" s="1"/>
  <c r="AE18" i="4" l="1"/>
  <c r="AM18" i="4" l="1"/>
  <c r="I18" i="4" l="1"/>
  <c r="AN18" i="4"/>
  <c r="Q18" i="4" s="1"/>
  <c r="AO18" i="4" l="1"/>
  <c r="W18" i="4" s="1"/>
  <c r="Y18" i="4" s="1"/>
  <c r="U19" i="4" s="1"/>
  <c r="S18" i="4"/>
  <c r="M19" i="4" s="1"/>
  <c r="R18" i="4"/>
  <c r="K18" i="4"/>
  <c r="E19" i="4" s="1"/>
  <c r="J18" i="4"/>
  <c r="X18" i="4" l="1"/>
  <c r="F19" i="4"/>
  <c r="N19" i="4"/>
  <c r="AD19" i="4"/>
  <c r="AJ19" i="4" l="1"/>
  <c r="G19" i="4" s="1"/>
  <c r="AQ19" i="4" l="1"/>
  <c r="AK19" i="4"/>
  <c r="O19" i="4" s="1"/>
  <c r="H19" i="4" l="1"/>
  <c r="P19" i="4"/>
  <c r="AL19" i="4"/>
  <c r="V19" i="4" s="1"/>
  <c r="AE19" i="4" l="1"/>
  <c r="AM19" i="4" l="1"/>
  <c r="I19" i="4" l="1"/>
  <c r="AN19" i="4"/>
  <c r="Q19" i="4" s="1"/>
  <c r="K19" i="4" l="1"/>
  <c r="E20" i="4" s="1"/>
  <c r="J19" i="4"/>
  <c r="S19" i="4"/>
  <c r="M20" i="4" s="1"/>
  <c r="R19" i="4"/>
  <c r="AO19" i="4"/>
  <c r="W19" i="4" s="1"/>
  <c r="Y19" i="4" l="1"/>
  <c r="U20" i="4" s="1"/>
  <c r="X19" i="4"/>
  <c r="N20" i="4"/>
  <c r="F20" i="4"/>
  <c r="AJ20" i="4" l="1"/>
  <c r="G20" i="4" s="1"/>
  <c r="AD20" i="4"/>
  <c r="AQ20" i="4" l="1"/>
  <c r="AK20" i="4"/>
  <c r="O20" i="4" s="1"/>
  <c r="AL20" i="4" l="1"/>
  <c r="V20" i="4" s="1"/>
  <c r="H20" i="4"/>
  <c r="P20" i="4"/>
  <c r="AE20" i="4" l="1"/>
  <c r="AM20" i="4" s="1"/>
  <c r="I20" i="4" s="1"/>
  <c r="AN20" i="4" l="1"/>
  <c r="Q20" i="4" s="1"/>
  <c r="S20" i="4" s="1"/>
  <c r="M21" i="4" s="1"/>
  <c r="K20" i="4"/>
  <c r="E21" i="4" s="1"/>
  <c r="J20" i="4"/>
  <c r="R20" i="4" l="1"/>
  <c r="AO20" i="4"/>
  <c r="W20" i="4" s="1"/>
  <c r="Y20" i="4" s="1"/>
  <c r="U21" i="4" s="1"/>
  <c r="AD21" i="4" s="1"/>
  <c r="N21" i="4"/>
  <c r="F21" i="4"/>
  <c r="X20" i="4" l="1"/>
  <c r="AJ21" i="4"/>
  <c r="G21" i="4" s="1"/>
  <c r="AQ21" i="4" l="1"/>
  <c r="AK21" i="4"/>
  <c r="O21" i="4" s="1"/>
  <c r="P21" i="4" l="1"/>
  <c r="AL21" i="4"/>
  <c r="V21" i="4" s="1"/>
  <c r="H21" i="4"/>
  <c r="AE21" i="4" l="1"/>
  <c r="AM21" i="4" s="1"/>
  <c r="I21" i="4" l="1"/>
  <c r="AN21" i="4"/>
  <c r="Q21" i="4" s="1"/>
  <c r="AO21" i="4" l="1"/>
  <c r="W21" i="4" s="1"/>
  <c r="Y21" i="4" s="1"/>
  <c r="U22" i="4" s="1"/>
  <c r="S21" i="4"/>
  <c r="M22" i="4" s="1"/>
  <c r="R21" i="4"/>
  <c r="K21" i="4"/>
  <c r="E22" i="4" s="1"/>
  <c r="J21" i="4"/>
  <c r="X21" i="4" l="1"/>
  <c r="F22" i="4"/>
  <c r="N22" i="4"/>
  <c r="AD22" i="4"/>
  <c r="AJ22" i="4" l="1"/>
  <c r="G22" i="4" s="1"/>
  <c r="AK22" i="4" l="1"/>
  <c r="O22" i="4" s="1"/>
  <c r="AQ22" i="4"/>
  <c r="P22" i="4" l="1"/>
  <c r="AL22" i="4"/>
  <c r="V22" i="4" s="1"/>
  <c r="H22" i="4"/>
  <c r="AE22" i="4" l="1"/>
  <c r="AM22" i="4" l="1"/>
  <c r="AN22" i="4" s="1"/>
  <c r="Q22" i="4" s="1"/>
  <c r="S22" i="4" l="1"/>
  <c r="M23" i="4" s="1"/>
  <c r="R22" i="4"/>
  <c r="I22" i="4"/>
  <c r="AO22" i="4"/>
  <c r="W22" i="4" s="1"/>
  <c r="Y22" i="4" l="1"/>
  <c r="U23" i="4" s="1"/>
  <c r="X22" i="4"/>
  <c r="K22" i="4"/>
  <c r="E23" i="4" s="1"/>
  <c r="J22" i="4"/>
  <c r="N23" i="4"/>
  <c r="F23" i="4" l="1"/>
  <c r="AD23" i="4"/>
  <c r="AJ23" i="4" l="1"/>
  <c r="G23" i="4" s="1"/>
  <c r="AK23" i="4" l="1"/>
  <c r="O23" i="4" s="1"/>
  <c r="AQ23" i="4"/>
  <c r="P23" i="4" l="1"/>
  <c r="AL23" i="4"/>
  <c r="V23" i="4" s="1"/>
  <c r="H23" i="4"/>
  <c r="AE23" i="4" l="1"/>
  <c r="AM23" i="4" l="1"/>
  <c r="AN23" i="4" s="1"/>
  <c r="Q23" i="4" s="1"/>
  <c r="S23" i="4" l="1"/>
  <c r="M24" i="4" s="1"/>
  <c r="R23" i="4"/>
  <c r="I23" i="4"/>
  <c r="AO23" i="4"/>
  <c r="W23" i="4" s="1"/>
  <c r="Y23" i="4" l="1"/>
  <c r="U24" i="4" s="1"/>
  <c r="X23" i="4"/>
  <c r="K23" i="4"/>
  <c r="E24" i="4" s="1"/>
  <c r="J23" i="4"/>
  <c r="N24" i="4"/>
  <c r="F24" i="4" l="1"/>
  <c r="AD24" i="4"/>
  <c r="AJ24" i="4" l="1"/>
  <c r="G24" i="4" s="1"/>
  <c r="AQ24" i="4" l="1"/>
  <c r="AK24" i="4"/>
  <c r="O24" i="4" s="1"/>
  <c r="P24" i="4" l="1"/>
  <c r="H24" i="4"/>
  <c r="AL24" i="4"/>
  <c r="V24" i="4" s="1"/>
  <c r="AE24" i="4" l="1"/>
  <c r="AM24" i="4" l="1"/>
  <c r="I24" i="4" l="1"/>
  <c r="AN24" i="4"/>
  <c r="Q24" i="4" s="1"/>
  <c r="AO24" i="4" l="1"/>
  <c r="W24" i="4" s="1"/>
  <c r="Y24" i="4" s="1"/>
  <c r="U25" i="4" s="1"/>
  <c r="S24" i="4"/>
  <c r="M25" i="4" s="1"/>
  <c r="R24" i="4"/>
  <c r="K24" i="4"/>
  <c r="E25" i="4" s="1"/>
  <c r="J24" i="4"/>
  <c r="X24" i="4" l="1"/>
  <c r="F25" i="4"/>
  <c r="N25" i="4"/>
  <c r="AD25" i="4"/>
  <c r="AJ25" i="4" l="1"/>
  <c r="G25" i="4" s="1"/>
  <c r="AQ25" i="4" l="1"/>
  <c r="AK25" i="4"/>
  <c r="O25" i="4" s="1"/>
  <c r="AL25" i="4" l="1"/>
  <c r="V25" i="4" s="1"/>
  <c r="P25" i="4"/>
  <c r="H25" i="4"/>
  <c r="AE25" i="4" l="1"/>
  <c r="AM25" i="4" s="1"/>
  <c r="I25" i="4" l="1"/>
  <c r="AN25" i="4"/>
  <c r="Q25" i="4" s="1"/>
  <c r="AO25" i="4" l="1"/>
  <c r="W25" i="4" s="1"/>
  <c r="Y25" i="4" s="1"/>
  <c r="U26" i="4" s="1"/>
  <c r="S25" i="4"/>
  <c r="M26" i="4" s="1"/>
  <c r="R25" i="4"/>
  <c r="K25" i="4"/>
  <c r="E26" i="4" s="1"/>
  <c r="J25" i="4"/>
  <c r="X25" i="4" l="1"/>
  <c r="F26" i="4"/>
  <c r="N26" i="4"/>
  <c r="AD26" i="4"/>
  <c r="AJ26" i="4" l="1"/>
  <c r="G26" i="4" s="1"/>
  <c r="AQ26" i="4" l="1"/>
  <c r="AK26" i="4"/>
  <c r="O26" i="4" s="1"/>
  <c r="P26" i="4" l="1"/>
  <c r="AL26" i="4"/>
  <c r="V26" i="4" s="1"/>
  <c r="H26" i="4"/>
  <c r="AE26" i="4" l="1"/>
  <c r="AM26" i="4" l="1"/>
  <c r="AN26" i="4" s="1"/>
  <c r="Q26" i="4" s="1"/>
  <c r="S26" i="4" l="1"/>
  <c r="M27" i="4" s="1"/>
  <c r="R26" i="4"/>
  <c r="AO26" i="4"/>
  <c r="W26" i="4" s="1"/>
  <c r="I26" i="4"/>
  <c r="K26" i="4" l="1"/>
  <c r="E27" i="4" s="1"/>
  <c r="J26" i="4"/>
  <c r="Y26" i="4"/>
  <c r="U27" i="4" s="1"/>
  <c r="X26" i="4"/>
  <c r="N27" i="4"/>
  <c r="AD27" i="4" l="1"/>
  <c r="F27" i="4"/>
  <c r="AJ27" i="4" l="1"/>
  <c r="G27" i="4" s="1"/>
  <c r="AQ27" i="4" l="1"/>
  <c r="AK27" i="4"/>
  <c r="O27" i="4" s="1"/>
  <c r="H27" i="4" l="1"/>
  <c r="P27" i="4"/>
  <c r="AL27" i="4"/>
  <c r="V27" i="4" s="1"/>
  <c r="AE27" i="4" l="1"/>
  <c r="AM27" i="4" l="1"/>
  <c r="AN27" i="4" s="1"/>
  <c r="Q27" i="4" s="1"/>
  <c r="S27" i="4" l="1"/>
  <c r="M28" i="4" s="1"/>
  <c r="R27" i="4"/>
  <c r="I27" i="4"/>
  <c r="AO27" i="4"/>
  <c r="W27" i="4" s="1"/>
  <c r="Y27" i="4" l="1"/>
  <c r="U28" i="4" s="1"/>
  <c r="X27" i="4"/>
  <c r="K27" i="4"/>
  <c r="E28" i="4" s="1"/>
  <c r="J27" i="4"/>
  <c r="N28" i="4"/>
  <c r="F28" i="4" l="1"/>
  <c r="AD28" i="4"/>
  <c r="AJ28" i="4" l="1"/>
  <c r="G28" i="4" s="1"/>
  <c r="AQ28" i="4" l="1"/>
  <c r="AK28" i="4"/>
  <c r="O28" i="4" s="1"/>
  <c r="AL28" i="4" l="1"/>
  <c r="V28" i="4" s="1"/>
  <c r="H28" i="4"/>
  <c r="P28" i="4"/>
  <c r="AE28" i="4" l="1"/>
  <c r="AM28" i="4" s="1"/>
  <c r="I28" i="4" l="1"/>
  <c r="AN28" i="4"/>
  <c r="Q28" i="4" s="1"/>
  <c r="K28" i="4" l="1"/>
  <c r="E29" i="4" s="1"/>
  <c r="J28" i="4"/>
  <c r="S28" i="4"/>
  <c r="M29" i="4" s="1"/>
  <c r="R28" i="4"/>
  <c r="AO28" i="4"/>
  <c r="W28" i="4" s="1"/>
  <c r="Y28" i="4" l="1"/>
  <c r="U29" i="4" s="1"/>
  <c r="X28" i="4"/>
  <c r="N29" i="4"/>
  <c r="F29" i="4"/>
  <c r="AJ29" i="4" l="1"/>
  <c r="G29" i="4" s="1"/>
  <c r="AD29" i="4"/>
  <c r="AQ29" i="4" l="1"/>
  <c r="AK29" i="4"/>
  <c r="O29" i="4" s="1"/>
  <c r="P29" i="4" l="1"/>
  <c r="H29" i="4"/>
  <c r="AL29" i="4"/>
  <c r="V29" i="4" s="1"/>
  <c r="AE29" i="4" l="1"/>
  <c r="AM29" i="4" s="1"/>
  <c r="AN29" i="4" s="1"/>
  <c r="Q29" i="4" s="1"/>
  <c r="S29" i="4" l="1"/>
  <c r="M30" i="4" s="1"/>
  <c r="R29" i="4"/>
  <c r="I29" i="4"/>
  <c r="AO29" i="4"/>
  <c r="W29" i="4" s="1"/>
  <c r="Y29" i="4" l="1"/>
  <c r="U30" i="4" s="1"/>
  <c r="X29" i="4"/>
  <c r="K29" i="4"/>
  <c r="E30" i="4" s="1"/>
  <c r="J29" i="4"/>
  <c r="N30" i="4"/>
  <c r="F30" i="4" l="1"/>
  <c r="AD30" i="4"/>
  <c r="AJ30" i="4" l="1"/>
  <c r="G30" i="4" s="1"/>
  <c r="AQ30" i="4" l="1"/>
  <c r="AK30" i="4"/>
  <c r="O30" i="4" s="1"/>
  <c r="AL30" i="4" l="1"/>
  <c r="V30" i="4" s="1"/>
  <c r="H30" i="4"/>
  <c r="P30" i="4"/>
  <c r="AE30" i="4" l="1"/>
  <c r="AM30" i="4" s="1"/>
  <c r="I30" i="4" l="1"/>
  <c r="AN30" i="4"/>
  <c r="Q30" i="4" s="1"/>
  <c r="AO30" i="4" l="1"/>
  <c r="W30" i="4" s="1"/>
  <c r="Y30" i="4" s="1"/>
  <c r="U31" i="4" s="1"/>
  <c r="S30" i="4"/>
  <c r="M31" i="4" s="1"/>
  <c r="R30" i="4"/>
  <c r="K30" i="4"/>
  <c r="E31" i="4" s="1"/>
  <c r="J30" i="4"/>
  <c r="X30" i="4" l="1"/>
  <c r="F31" i="4"/>
  <c r="N31" i="4"/>
  <c r="AD31" i="4"/>
  <c r="AJ31" i="4" l="1"/>
  <c r="G31" i="4" s="1"/>
  <c r="AQ31" i="4" l="1"/>
  <c r="AK31" i="4"/>
  <c r="O31" i="4" s="1"/>
  <c r="AL31" i="4" l="1"/>
  <c r="V31" i="4" s="1"/>
  <c r="H31" i="4"/>
  <c r="P31" i="4"/>
  <c r="AE31" i="4" l="1"/>
  <c r="AM31" i="4" s="1"/>
  <c r="I31" i="4" l="1"/>
  <c r="AN31" i="4"/>
  <c r="Q31" i="4" s="1"/>
  <c r="AO31" i="4" l="1"/>
  <c r="W31" i="4" s="1"/>
  <c r="Y31" i="4" s="1"/>
  <c r="U32" i="4" s="1"/>
  <c r="S31" i="4"/>
  <c r="M32" i="4" s="1"/>
  <c r="R31" i="4"/>
  <c r="K31" i="4"/>
  <c r="E32" i="4" s="1"/>
  <c r="J31" i="4"/>
  <c r="X31" i="4" l="1"/>
  <c r="F32" i="4"/>
  <c r="N32" i="4"/>
  <c r="AD32" i="4"/>
  <c r="AJ32" i="4" l="1"/>
  <c r="G32" i="4" s="1"/>
  <c r="AQ32" i="4" l="1"/>
  <c r="AK32" i="4"/>
  <c r="O32" i="4" s="1"/>
  <c r="AL32" i="4" l="1"/>
  <c r="V32" i="4" s="1"/>
  <c r="H32" i="4"/>
  <c r="P32" i="4"/>
  <c r="AE32" i="4" l="1"/>
  <c r="AM32" i="4" s="1"/>
  <c r="I32" i="4" l="1"/>
  <c r="AN32" i="4"/>
  <c r="Q32" i="4" s="1"/>
  <c r="AO32" i="4" l="1"/>
  <c r="W32" i="4" s="1"/>
  <c r="Y32" i="4" s="1"/>
  <c r="U33" i="4" s="1"/>
  <c r="S32" i="4"/>
  <c r="M33" i="4" s="1"/>
  <c r="R32" i="4"/>
  <c r="K32" i="4"/>
  <c r="E33" i="4" s="1"/>
  <c r="J32" i="4"/>
  <c r="X32" i="4" l="1"/>
  <c r="F33" i="4"/>
  <c r="N33" i="4"/>
  <c r="AD33" i="4"/>
  <c r="AJ33" i="4" l="1"/>
  <c r="G33" i="4" s="1"/>
  <c r="AQ33" i="4" l="1"/>
  <c r="AK33" i="4"/>
  <c r="O33" i="4" s="1"/>
  <c r="P33" i="4" l="1"/>
  <c r="H33" i="4"/>
  <c r="AL33" i="4"/>
  <c r="V33" i="4" s="1"/>
  <c r="AE33" i="4" l="1"/>
  <c r="AM33" i="4" s="1"/>
  <c r="AN33" i="4" s="1"/>
  <c r="Q33" i="4" s="1"/>
  <c r="S33" i="4" l="1"/>
  <c r="M34" i="4" s="1"/>
  <c r="R33" i="4"/>
  <c r="I33" i="4"/>
  <c r="AO33" i="4"/>
  <c r="W33" i="4" s="1"/>
  <c r="Y33" i="4" l="1"/>
  <c r="U34" i="4" s="1"/>
  <c r="X33" i="4"/>
  <c r="K33" i="4"/>
  <c r="E34" i="4" s="1"/>
  <c r="J33" i="4"/>
  <c r="N34" i="4"/>
  <c r="F34" i="4" l="1"/>
  <c r="AD34" i="4"/>
  <c r="AJ34" i="4" l="1"/>
  <c r="G34" i="4" s="1"/>
  <c r="AQ34" i="4" l="1"/>
  <c r="AK34" i="4"/>
  <c r="O34" i="4" s="1"/>
  <c r="AL34" i="4" l="1"/>
  <c r="V34" i="4" s="1"/>
  <c r="P34" i="4"/>
  <c r="H34" i="4"/>
  <c r="AE34" i="4" l="1"/>
  <c r="AM34" i="4" s="1"/>
  <c r="I34" i="4" l="1"/>
  <c r="AN34" i="4"/>
  <c r="Q34" i="4" s="1"/>
  <c r="K34" i="4" l="1"/>
  <c r="E35" i="4" s="1"/>
  <c r="J34" i="4"/>
  <c r="S34" i="4"/>
  <c r="M35" i="4" s="1"/>
  <c r="R34" i="4"/>
  <c r="AO34" i="4"/>
  <c r="W34" i="4" s="1"/>
  <c r="Y34" i="4" l="1"/>
  <c r="U35" i="4" s="1"/>
  <c r="X34" i="4"/>
  <c r="N35" i="4"/>
  <c r="F35" i="4"/>
  <c r="AJ35" i="4" l="1"/>
  <c r="G35" i="4" s="1"/>
  <c r="AD35" i="4"/>
  <c r="AK35" i="4" l="1"/>
  <c r="O35" i="4" s="1"/>
  <c r="AQ35" i="4"/>
  <c r="AL35" i="4" l="1"/>
  <c r="V35" i="4" s="1"/>
  <c r="H35" i="4"/>
  <c r="P35" i="4"/>
  <c r="AE35" i="4" l="1"/>
  <c r="AM35" i="4" s="1"/>
  <c r="AN35" i="4" s="1"/>
  <c r="Q35" i="4" s="1"/>
  <c r="S35" i="4" l="1"/>
  <c r="M36" i="4" s="1"/>
  <c r="R35" i="4"/>
  <c r="I35" i="4"/>
  <c r="AO35" i="4"/>
  <c r="W35" i="4" s="1"/>
  <c r="Y35" i="4" l="1"/>
  <c r="U36" i="4" s="1"/>
  <c r="X35" i="4"/>
  <c r="K35" i="4"/>
  <c r="E36" i="4" s="1"/>
  <c r="J35" i="4"/>
  <c r="N36" i="4"/>
  <c r="F36" i="4" l="1"/>
  <c r="AD36" i="4"/>
  <c r="AJ36" i="4" l="1"/>
  <c r="G36" i="4" s="1"/>
  <c r="AQ36" i="4" l="1"/>
  <c r="AK36" i="4"/>
  <c r="O36" i="4" s="1"/>
  <c r="P36" i="4" l="1"/>
  <c r="H36" i="4"/>
  <c r="AL36" i="4"/>
  <c r="V36" i="4" s="1"/>
  <c r="AE36" i="4" l="1"/>
  <c r="AM36" i="4" s="1"/>
  <c r="I36" i="4" l="1"/>
  <c r="AN36" i="4"/>
  <c r="Q36" i="4" s="1"/>
  <c r="AO36" i="4" l="1"/>
  <c r="W36" i="4" s="1"/>
  <c r="Y36" i="4" s="1"/>
  <c r="U37" i="4" s="1"/>
  <c r="S36" i="4"/>
  <c r="M37" i="4" s="1"/>
  <c r="R36" i="4"/>
  <c r="K36" i="4"/>
  <c r="E37" i="4" s="1"/>
  <c r="J36" i="4"/>
  <c r="X36" i="4" l="1"/>
  <c r="F37" i="4"/>
  <c r="N37" i="4"/>
  <c r="AD37" i="4"/>
  <c r="AJ37" i="4" l="1"/>
  <c r="G37" i="4" s="1"/>
  <c r="AQ37" i="4" l="1"/>
  <c r="AK37" i="4"/>
  <c r="O37" i="4" s="1"/>
  <c r="AL37" i="4" l="1"/>
  <c r="V37" i="4" s="1"/>
  <c r="H37" i="4"/>
  <c r="P37" i="4"/>
  <c r="AE37" i="4" l="1"/>
  <c r="AM37" i="4" s="1"/>
  <c r="I37" i="4" s="1"/>
  <c r="AN37" i="4" l="1"/>
  <c r="Q37" i="4" s="1"/>
  <c r="R37" i="4" s="1"/>
  <c r="K37" i="4"/>
  <c r="E38" i="4" s="1"/>
  <c r="J37" i="4"/>
  <c r="S37" i="4" l="1"/>
  <c r="M38" i="4" s="1"/>
  <c r="N38" i="4" s="1"/>
  <c r="AO37" i="4"/>
  <c r="W37" i="4" s="1"/>
  <c r="Y37" i="4" s="1"/>
  <c r="U38" i="4" s="1"/>
  <c r="AD38" i="4" s="1"/>
  <c r="F38" i="4"/>
  <c r="X37" i="4" l="1"/>
  <c r="AJ38" i="4"/>
  <c r="G38" i="4" s="1"/>
  <c r="AK38" i="4" l="1"/>
  <c r="O38" i="4" s="1"/>
  <c r="AQ38" i="4"/>
  <c r="P38" i="4" l="1"/>
  <c r="AL38" i="4"/>
  <c r="V38" i="4" s="1"/>
  <c r="H38" i="4"/>
  <c r="AE38" i="4" l="1"/>
  <c r="AM38" i="4" s="1"/>
  <c r="I38" i="4" l="1"/>
  <c r="AN38" i="4"/>
  <c r="Q38" i="4" s="1"/>
  <c r="AO38" i="4" l="1"/>
  <c r="W38" i="4" s="1"/>
  <c r="Y38" i="4" s="1"/>
  <c r="U39" i="4" s="1"/>
  <c r="S38" i="4"/>
  <c r="M39" i="4" s="1"/>
  <c r="R38" i="4"/>
  <c r="K38" i="4"/>
  <c r="E39" i="4" s="1"/>
  <c r="J38" i="4"/>
  <c r="X38" i="4" l="1"/>
  <c r="F39" i="4"/>
  <c r="N39" i="4"/>
  <c r="AD39" i="4"/>
  <c r="AJ39" i="4" l="1"/>
  <c r="G39" i="4" s="1"/>
  <c r="AQ39" i="4" l="1"/>
  <c r="AK39" i="4"/>
  <c r="O39" i="4" s="1"/>
  <c r="AL39" i="4" l="1"/>
  <c r="V39" i="4" s="1"/>
  <c r="P39" i="4"/>
  <c r="H39" i="4"/>
  <c r="AE39" i="4" l="1"/>
  <c r="AM39" i="4" s="1"/>
  <c r="I39" i="4" l="1"/>
  <c r="AN39" i="4"/>
  <c r="Q39" i="4" s="1"/>
  <c r="AO39" i="4" l="1"/>
  <c r="W39" i="4" s="1"/>
  <c r="Y39" i="4" s="1"/>
  <c r="U40" i="4" s="1"/>
  <c r="S39" i="4"/>
  <c r="M40" i="4" s="1"/>
  <c r="R39" i="4"/>
  <c r="K39" i="4"/>
  <c r="E40" i="4" s="1"/>
  <c r="J39" i="4"/>
  <c r="X39" i="4" l="1"/>
  <c r="F40" i="4"/>
  <c r="N40" i="4"/>
  <c r="AD40" i="4"/>
  <c r="AJ40" i="4" l="1"/>
  <c r="G40" i="4" s="1"/>
  <c r="AK40" i="4" l="1"/>
  <c r="O40" i="4" s="1"/>
  <c r="AQ40" i="4"/>
  <c r="H40" i="4" l="1"/>
  <c r="P40" i="4"/>
  <c r="AL40" i="4"/>
  <c r="V40" i="4" s="1"/>
  <c r="AE40" i="4" l="1"/>
  <c r="AM40" i="4" s="1"/>
  <c r="I40" i="4" l="1"/>
  <c r="AN40" i="4"/>
  <c r="Q40" i="4" s="1"/>
  <c r="AO40" i="4" l="1"/>
  <c r="W40" i="4" s="1"/>
  <c r="Y40" i="4" s="1"/>
  <c r="U41" i="4" s="1"/>
  <c r="S40" i="4"/>
  <c r="M41" i="4" s="1"/>
  <c r="R40" i="4"/>
  <c r="K40" i="4"/>
  <c r="E41" i="4" s="1"/>
  <c r="J40" i="4"/>
  <c r="X40" i="4" l="1"/>
  <c r="F41" i="4"/>
  <c r="N41" i="4"/>
  <c r="AD41" i="4"/>
  <c r="AJ41" i="4" l="1"/>
  <c r="G41" i="4" s="1"/>
  <c r="AQ41" i="4" l="1"/>
  <c r="AK41" i="4"/>
  <c r="O41" i="4" s="1"/>
  <c r="P41" i="4" l="1"/>
  <c r="H41" i="4"/>
  <c r="AL41" i="4"/>
  <c r="V41" i="4" s="1"/>
  <c r="AE41" i="4" l="1"/>
  <c r="AM41" i="4" s="1"/>
  <c r="AN41" i="4" s="1"/>
  <c r="Q41" i="4" s="1"/>
  <c r="S10" i="4" l="1"/>
  <c r="L4" i="4" s="1"/>
  <c r="S41" i="4"/>
  <c r="M42" i="4" s="1"/>
  <c r="R41" i="4"/>
  <c r="I41" i="4"/>
  <c r="AO41" i="4"/>
  <c r="W41" i="4" s="1"/>
  <c r="K10" i="4" l="1"/>
  <c r="L3" i="4" s="1"/>
  <c r="K41" i="4"/>
  <c r="E42" i="4" s="1"/>
  <c r="J41" i="4"/>
  <c r="N42" i="4"/>
  <c r="Y10" i="4"/>
  <c r="L5" i="4" s="1"/>
  <c r="Y41" i="4"/>
  <c r="U42" i="4" s="1"/>
  <c r="X41" i="4"/>
  <c r="F42" i="4" l="1"/>
  <c r="AD42" i="4"/>
  <c r="AJ42" i="4" l="1"/>
  <c r="G42" i="4" s="1"/>
  <c r="AQ42" i="4" l="1"/>
  <c r="AK42" i="4"/>
  <c r="O42" i="4" s="1"/>
  <c r="H42" i="4" l="1"/>
  <c r="P42" i="4"/>
  <c r="AL42" i="4"/>
  <c r="V42" i="4" s="1"/>
  <c r="AE42" i="4" l="1"/>
  <c r="AM42" i="4" l="1"/>
  <c r="I42" i="4" l="1"/>
  <c r="AN42" i="4"/>
  <c r="Q42" i="4" s="1"/>
  <c r="AO42" i="4" l="1"/>
  <c r="W42" i="4" s="1"/>
  <c r="Y42" i="4" s="1"/>
  <c r="U43" i="4" s="1"/>
  <c r="S42" i="4"/>
  <c r="M43" i="4" s="1"/>
  <c r="R42" i="4"/>
  <c r="K42" i="4"/>
  <c r="E43" i="4" s="1"/>
  <c r="J42" i="4"/>
  <c r="X42" i="4" l="1"/>
  <c r="F43" i="4"/>
  <c r="N43" i="4"/>
  <c r="AD43" i="4"/>
  <c r="AJ43" i="4" l="1"/>
  <c r="G43" i="4" s="1"/>
  <c r="AK43" i="4" l="1"/>
  <c r="O43" i="4" s="1"/>
  <c r="AQ43" i="4"/>
  <c r="P43" i="4" l="1"/>
  <c r="AL43" i="4"/>
  <c r="V43" i="4" s="1"/>
  <c r="H43" i="4"/>
  <c r="AE43" i="4" l="1"/>
  <c r="AM43" i="4" l="1"/>
  <c r="AN43" i="4" s="1"/>
  <c r="Q43" i="4" s="1"/>
  <c r="S43" i="4" l="1"/>
  <c r="M44" i="4" s="1"/>
  <c r="R43" i="4"/>
  <c r="I43" i="4"/>
  <c r="AO43" i="4"/>
  <c r="W43" i="4" s="1"/>
  <c r="Y43" i="4" l="1"/>
  <c r="U44" i="4" s="1"/>
  <c r="X43" i="4"/>
  <c r="K43" i="4"/>
  <c r="E44" i="4" s="1"/>
  <c r="J43" i="4"/>
  <c r="N44" i="4"/>
  <c r="F44" i="4" l="1"/>
  <c r="AD44" i="4"/>
  <c r="AJ44" i="4" l="1"/>
  <c r="G44" i="4" s="1"/>
  <c r="AQ44" i="4" l="1"/>
  <c r="AK44" i="4"/>
  <c r="O44" i="4" s="1"/>
  <c r="AL44" i="4" l="1"/>
  <c r="V44" i="4" s="1"/>
  <c r="H44" i="4"/>
  <c r="P44" i="4"/>
  <c r="AE44" i="4" l="1"/>
  <c r="AM44" i="4" s="1"/>
  <c r="I44" i="4" l="1"/>
  <c r="AN44" i="4"/>
  <c r="Q44" i="4" s="1"/>
  <c r="AO44" i="4" l="1"/>
  <c r="W44" i="4" s="1"/>
  <c r="W15" i="4" s="1"/>
  <c r="K5" i="4" s="1"/>
  <c r="Q15" i="4"/>
  <c r="K4" i="4" s="1"/>
  <c r="N4" i="4" s="1"/>
  <c r="S44" i="4"/>
  <c r="R44" i="4"/>
  <c r="M4" i="4" s="1"/>
  <c r="I15" i="4"/>
  <c r="K3" i="4" s="1"/>
  <c r="N3" i="4" s="1"/>
  <c r="K44" i="4"/>
  <c r="J44" i="4"/>
  <c r="M3" i="4" s="1"/>
  <c r="X44" i="4" l="1"/>
  <c r="M5" i="4" s="1"/>
  <c r="Y44" i="4"/>
  <c r="N5" i="4" l="1"/>
</calcChain>
</file>

<file path=xl/sharedStrings.xml><?xml version="1.0" encoding="utf-8"?>
<sst xmlns="http://schemas.openxmlformats.org/spreadsheetml/2006/main" count="104" uniqueCount="84">
  <si>
    <t>Maturity in months</t>
  </si>
  <si>
    <t>W A Coupon</t>
  </si>
  <si>
    <t>Months</t>
  </si>
  <si>
    <t>Collection Date</t>
  </si>
  <si>
    <t>Initial</t>
  </si>
  <si>
    <t>Collateral Principal</t>
    <phoneticPr fontId="2" type="noConversion"/>
  </si>
  <si>
    <t>Collateral Interest</t>
    <phoneticPr fontId="2" type="noConversion"/>
  </si>
  <si>
    <t>Collateral Cashflow</t>
    <phoneticPr fontId="2" type="noConversion"/>
  </si>
  <si>
    <t>Collateral Amortisation Schedule</t>
    <phoneticPr fontId="2" type="noConversion"/>
  </si>
  <si>
    <t>Total Portfolio</t>
    <phoneticPr fontId="2" type="noConversion"/>
  </si>
  <si>
    <t>Cutoff Date</t>
    <phoneticPr fontId="2" type="noConversion"/>
  </si>
  <si>
    <t>Collateral Cashflow With Prepay&amp;Default</t>
    <phoneticPr fontId="2" type="noConversion"/>
  </si>
  <si>
    <t>MDR</t>
    <phoneticPr fontId="2" type="noConversion"/>
  </si>
  <si>
    <t>Amortisation</t>
    <phoneticPr fontId="2" type="noConversion"/>
  </si>
  <si>
    <t>Default</t>
    <phoneticPr fontId="2" type="noConversion"/>
  </si>
  <si>
    <t>Prepay</t>
    <phoneticPr fontId="2" type="noConversion"/>
  </si>
  <si>
    <t>Severity</t>
    <phoneticPr fontId="2" type="noConversion"/>
  </si>
  <si>
    <t>Interest</t>
    <phoneticPr fontId="2" type="noConversion"/>
  </si>
  <si>
    <t>Class</t>
  </si>
  <si>
    <t>A</t>
  </si>
  <si>
    <t>B</t>
  </si>
  <si>
    <t>Coupon</t>
  </si>
  <si>
    <t>Original Balance</t>
  </si>
  <si>
    <t>Collateral Beginning Balance</t>
    <phoneticPr fontId="2" type="noConversion"/>
  </si>
  <si>
    <t>Class A</t>
    <phoneticPr fontId="2" type="noConversion"/>
  </si>
  <si>
    <t>Class B</t>
    <phoneticPr fontId="2" type="noConversion"/>
  </si>
  <si>
    <t>Collateral Ending Balance</t>
    <phoneticPr fontId="2" type="noConversion"/>
  </si>
  <si>
    <t>Beginning Balance</t>
    <phoneticPr fontId="2" type="noConversion"/>
  </si>
  <si>
    <t>Interest Due</t>
    <phoneticPr fontId="2" type="noConversion"/>
  </si>
  <si>
    <t>Interest Paid</t>
    <phoneticPr fontId="2" type="noConversion"/>
  </si>
  <si>
    <t>Interest Unpaid</t>
    <phoneticPr fontId="2" type="noConversion"/>
  </si>
  <si>
    <t>Principal Paid</t>
    <phoneticPr fontId="2" type="noConversion"/>
  </si>
  <si>
    <t>Closing Balance</t>
    <phoneticPr fontId="2" type="noConversion"/>
  </si>
  <si>
    <t>Interest paid to A</t>
    <phoneticPr fontId="2" type="noConversion"/>
  </si>
  <si>
    <t>Waterfall</t>
    <phoneticPr fontId="2" type="noConversion"/>
  </si>
  <si>
    <t xml:space="preserve">Senior Expenses </t>
    <phoneticPr fontId="2" type="noConversion"/>
  </si>
  <si>
    <t>Total Expenses</t>
  </si>
  <si>
    <t>Expenses Due</t>
    <phoneticPr fontId="2" type="noConversion"/>
  </si>
  <si>
    <t>Expenses Paid via Interest Waterfall</t>
    <phoneticPr fontId="2" type="noConversion"/>
  </si>
  <si>
    <t>Senior Expenses</t>
    <phoneticPr fontId="2" type="noConversion"/>
  </si>
  <si>
    <t>Interest paid to B</t>
    <phoneticPr fontId="2" type="noConversion"/>
  </si>
  <si>
    <t>Principal paid to A</t>
    <phoneticPr fontId="2" type="noConversion"/>
  </si>
  <si>
    <t>Principal paid to B</t>
    <phoneticPr fontId="2" type="noConversion"/>
  </si>
  <si>
    <t>Collateral Interest</t>
    <phoneticPr fontId="2" type="noConversion"/>
  </si>
  <si>
    <t>Cash In</t>
    <phoneticPr fontId="2" type="noConversion"/>
  </si>
  <si>
    <t>Sub</t>
    <phoneticPr fontId="2" type="noConversion"/>
  </si>
  <si>
    <t>Interest paid to Sub</t>
    <phoneticPr fontId="2" type="noConversion"/>
  </si>
  <si>
    <t>Principal paid to Sub</t>
    <phoneticPr fontId="2" type="noConversion"/>
  </si>
  <si>
    <t>Cash Out - Interest</t>
    <phoneticPr fontId="2" type="noConversion"/>
  </si>
  <si>
    <t>Cash Out - Principal</t>
    <phoneticPr fontId="2" type="noConversion"/>
  </si>
  <si>
    <t>WAL</t>
  </si>
  <si>
    <t>Recovery</t>
    <phoneticPr fontId="2" type="noConversion"/>
  </si>
  <si>
    <t>Thickness</t>
    <phoneticPr fontId="2" type="noConversion"/>
  </si>
  <si>
    <t>Sub</t>
    <phoneticPr fontId="2" type="noConversion"/>
  </si>
  <si>
    <t>Principal Loss%</t>
    <phoneticPr fontId="2" type="noConversion"/>
  </si>
  <si>
    <t>Credit Support</t>
    <phoneticPr fontId="2" type="noConversion"/>
  </si>
  <si>
    <t>WAL</t>
    <phoneticPr fontId="2" type="noConversion"/>
  </si>
  <si>
    <t>IRR</t>
    <phoneticPr fontId="2" type="noConversion"/>
  </si>
  <si>
    <t>Cashflow Paid</t>
    <phoneticPr fontId="2" type="noConversion"/>
  </si>
  <si>
    <t>Loss%</t>
    <phoneticPr fontId="2" type="noConversion"/>
  </si>
  <si>
    <t>Cash Reserve</t>
    <phoneticPr fontId="2" type="noConversion"/>
  </si>
  <si>
    <t>Sub Interest Cap</t>
    <phoneticPr fontId="2" type="noConversion"/>
  </si>
  <si>
    <t>Interest Reserve</t>
    <phoneticPr fontId="2" type="noConversion"/>
  </si>
  <si>
    <t>Monthly Prepay</t>
    <phoneticPr fontId="2" type="noConversion"/>
  </si>
  <si>
    <t>Prepay Rate</t>
    <phoneticPr fontId="2" type="noConversion"/>
  </si>
  <si>
    <r>
      <t>M</t>
    </r>
    <r>
      <rPr>
        <sz val="10"/>
        <rFont val="Arial"/>
        <family val="2"/>
      </rPr>
      <t>onth 1-6</t>
    </r>
    <phoneticPr fontId="2" type="noConversion"/>
  </si>
  <si>
    <r>
      <t>M</t>
    </r>
    <r>
      <rPr>
        <sz val="10"/>
        <rFont val="Arial"/>
        <family val="2"/>
      </rPr>
      <t>onth 7-12</t>
    </r>
    <phoneticPr fontId="2" type="noConversion"/>
  </si>
  <si>
    <r>
      <t>M</t>
    </r>
    <r>
      <rPr>
        <sz val="10"/>
        <rFont val="Arial"/>
        <family val="2"/>
      </rPr>
      <t>onth 13-18</t>
    </r>
    <phoneticPr fontId="2" type="noConversion"/>
  </si>
  <si>
    <r>
      <t>M</t>
    </r>
    <r>
      <rPr>
        <sz val="10"/>
        <rFont val="Arial"/>
        <family val="2"/>
      </rPr>
      <t>onth 18+</t>
    </r>
    <phoneticPr fontId="2" type="noConversion"/>
  </si>
  <si>
    <t>Occurrence</t>
    <phoneticPr fontId="2" type="noConversion"/>
  </si>
  <si>
    <t>Cumulative</t>
    <phoneticPr fontId="2" type="noConversion"/>
  </si>
  <si>
    <t>Cum Default Rate</t>
    <phoneticPr fontId="2" type="noConversion"/>
  </si>
  <si>
    <t>Note, "Cum Default Rate" is cum loss on orig pool balance</t>
    <phoneticPr fontId="2" type="noConversion"/>
  </si>
  <si>
    <t>累计违约率=1%</t>
  </si>
  <si>
    <t>回收率=25%</t>
  </si>
  <si>
    <t>年早偿率</t>
  </si>
  <si>
    <t>A收益率</t>
  </si>
  <si>
    <t>B收益率</t>
  </si>
  <si>
    <t>C收益率</t>
  </si>
  <si>
    <t>早偿率：6%</t>
  </si>
  <si>
    <t>回收率</t>
  </si>
  <si>
    <t>优先A本金受损</t>
  </si>
  <si>
    <t>优先B本金受损</t>
  </si>
  <si>
    <t>次级本金受损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</si>
</sst>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_-* #,##0_-;\-* #,##0_-;_-* &quot;-&quot;??_-;_-@_-"/>
    <numFmt numFmtId="177" formatCode="_-* #,##0.00_-;\-* #,##0.00_-;_-* &quot;-&quot;??_-;_-@_-"/>
    <numFmt numFmtId="178" formatCode="dd\ mmm\ yyyy"/>
    <numFmt numFmtId="179" formatCode="_-[$€-2]* #,##0.00_-;\-[$€-2]* #,##0.00_-;_-[$€-2]* &quot;-&quot;??_-"/>
    <numFmt numFmtId="180" formatCode="0.0&quot; X EBITDA&quot;"/>
    <numFmt numFmtId="181" formatCode="#,##0_ "/>
    <numFmt numFmtId="182" formatCode="0.000%"/>
    <numFmt numFmtId="183" formatCode="0_ "/>
    <numFmt numFmtId="184" formatCode="0.00\ &quot;yrs&quot;"/>
  </numFmts>
  <fonts count="19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b/>
      <sz val="14"/>
      <color indexed="9"/>
      <name val="Arial"/>
      <family val="2"/>
    </font>
    <font>
      <b/>
      <sz val="10"/>
      <name val="Arial"/>
      <family val="2"/>
    </font>
    <font>
      <sz val="10"/>
      <color indexed="16"/>
      <name val="Arial"/>
      <family val="2"/>
    </font>
    <font>
      <sz val="10"/>
      <name val="CG Times"/>
      <family val="1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2"/>
      <name val="仿宋"/>
      <family val="3"/>
      <charset val="134"/>
    </font>
    <font>
      <sz val="10"/>
      <color rgb="FF000000"/>
      <name val="Arial"/>
      <family val="2"/>
    </font>
    <font>
      <sz val="12"/>
      <color theme="1"/>
      <name val="仿宋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DFDFD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3">
    <xf numFmtId="0" fontId="0" fillId="0" borderId="0"/>
    <xf numFmtId="17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0" fontId="1" fillId="0" borderId="0"/>
    <xf numFmtId="179" fontId="6" fillId="0" borderId="0" applyFont="0" applyFill="0" applyBorder="0" applyAlignment="0" applyProtection="0"/>
    <xf numFmtId="38" fontId="7" fillId="0" borderId="0"/>
    <xf numFmtId="38" fontId="8" fillId="0" borderId="0"/>
    <xf numFmtId="38" fontId="9" fillId="0" borderId="0"/>
    <xf numFmtId="38" fontId="10" fillId="0" borderId="0"/>
    <xf numFmtId="0" fontId="11" fillId="0" borderId="0"/>
    <xf numFmtId="0" fontId="11" fillId="0" borderId="0"/>
    <xf numFmtId="180" fontId="12" fillId="0" borderId="0" applyFont="0">
      <protection locked="0"/>
    </xf>
    <xf numFmtId="0" fontId="1" fillId="0" borderId="0">
      <alignment horizontal="left" wrapText="1"/>
    </xf>
  </cellStyleXfs>
  <cellXfs count="113">
    <xf numFmtId="0" fontId="0" fillId="0" borderId="0" xfId="0"/>
    <xf numFmtId="0" fontId="1" fillId="0" borderId="0" xfId="0" applyFont="1" applyFill="1" applyBorder="1" applyAlignment="1"/>
    <xf numFmtId="0" fontId="1" fillId="0" borderId="0" xfId="0" applyFont="1" applyAlignment="1"/>
    <xf numFmtId="0" fontId="1" fillId="0" borderId="0" xfId="0" applyFont="1" applyBorder="1" applyAlignment="1"/>
    <xf numFmtId="0" fontId="1" fillId="0" borderId="0" xfId="0" applyFont="1" applyFill="1" applyBorder="1"/>
    <xf numFmtId="0" fontId="1" fillId="0" borderId="0" xfId="0" applyFont="1"/>
    <xf numFmtId="0" fontId="1" fillId="0" borderId="0" xfId="0" applyFont="1" applyFill="1"/>
    <xf numFmtId="0" fontId="1" fillId="0" borderId="0" xfId="0" applyFont="1" applyBorder="1"/>
    <xf numFmtId="0" fontId="3" fillId="2" borderId="1" xfId="0" applyFont="1" applyFill="1" applyBorder="1" applyAlignment="1" applyProtection="1">
      <alignment horizontal="left"/>
    </xf>
    <xf numFmtId="0" fontId="3" fillId="2" borderId="2" xfId="0" applyFont="1" applyFill="1" applyBorder="1" applyAlignment="1" applyProtection="1">
      <alignment horizontal="left"/>
    </xf>
    <xf numFmtId="0" fontId="3" fillId="2" borderId="3" xfId="0" applyFont="1" applyFill="1" applyBorder="1" applyAlignment="1" applyProtection="1">
      <alignment horizontal="left"/>
    </xf>
    <xf numFmtId="0" fontId="1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" fillId="0" borderId="6" xfId="0" quotePrefix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4" fillId="3" borderId="4" xfId="0" applyFont="1" applyFill="1" applyBorder="1" applyAlignment="1">
      <alignment horizontal="center"/>
    </xf>
    <xf numFmtId="3" fontId="1" fillId="0" borderId="0" xfId="0" applyNumberFormat="1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Fill="1" applyBorder="1" applyAlignment="1">
      <alignment horizontal="center" wrapText="1"/>
    </xf>
    <xf numFmtId="0" fontId="1" fillId="0" borderId="0" xfId="0" applyFont="1" applyBorder="1" applyAlignment="1">
      <alignment horizontal="center" wrapText="1"/>
    </xf>
    <xf numFmtId="10" fontId="1" fillId="0" borderId="0" xfId="2" applyNumberFormat="1" applyFont="1" applyFill="1" applyBorder="1" applyAlignment="1">
      <alignment horizontal="center"/>
    </xf>
    <xf numFmtId="3" fontId="1" fillId="0" borderId="5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0" borderId="11" xfId="0" quotePrefix="1" applyFont="1" applyBorder="1" applyAlignment="1">
      <alignment horizontal="center"/>
    </xf>
    <xf numFmtId="178" fontId="4" fillId="0" borderId="0" xfId="0" applyNumberFormat="1" applyFont="1" applyFill="1" applyBorder="1"/>
    <xf numFmtId="3" fontId="1" fillId="0" borderId="11" xfId="0" applyNumberFormat="1" applyFont="1" applyFill="1" applyBorder="1" applyAlignment="1">
      <alignment horizontal="center"/>
    </xf>
    <xf numFmtId="3" fontId="1" fillId="0" borderId="13" xfId="0" applyNumberFormat="1" applyFont="1" applyFill="1" applyBorder="1" applyAlignment="1">
      <alignment horizontal="center"/>
    </xf>
    <xf numFmtId="0" fontId="4" fillId="0" borderId="5" xfId="0" applyFont="1" applyBorder="1" applyAlignment="1">
      <alignment horizontal="center"/>
    </xf>
    <xf numFmtId="178" fontId="4" fillId="0" borderId="6" xfId="0" applyNumberFormat="1" applyFont="1" applyFill="1" applyBorder="1"/>
    <xf numFmtId="3" fontId="1" fillId="0" borderId="6" xfId="0" applyNumberFormat="1" applyFont="1" applyFill="1" applyBorder="1" applyAlignment="1">
      <alignment horizontal="center"/>
    </xf>
    <xf numFmtId="178" fontId="1" fillId="0" borderId="0" xfId="0" applyNumberFormat="1" applyFont="1" applyFill="1" applyBorder="1"/>
    <xf numFmtId="178" fontId="13" fillId="4" borderId="12" xfId="0" applyNumberFormat="1" applyFont="1" applyFill="1" applyBorder="1"/>
    <xf numFmtId="3" fontId="1" fillId="4" borderId="13" xfId="0" applyNumberFormat="1" applyFont="1" applyFill="1" applyBorder="1" applyAlignment="1">
      <alignment horizontal="center"/>
    </xf>
    <xf numFmtId="3" fontId="1" fillId="4" borderId="12" xfId="0" applyNumberFormat="1" applyFont="1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10" fontId="14" fillId="0" borderId="0" xfId="2" applyNumberFormat="1" applyFont="1" applyAlignment="1">
      <alignment horizontal="center" vertical="center" wrapText="1"/>
    </xf>
    <xf numFmtId="0" fontId="4" fillId="0" borderId="6" xfId="0" applyFont="1" applyFill="1" applyBorder="1" applyAlignment="1">
      <alignment horizontal="center" vertical="center"/>
    </xf>
    <xf numFmtId="181" fontId="1" fillId="0" borderId="12" xfId="1" applyNumberFormat="1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6" xfId="0" applyFont="1" applyBorder="1"/>
    <xf numFmtId="0" fontId="1" fillId="0" borderId="6" xfId="0" applyFont="1" applyBorder="1" applyAlignment="1">
      <alignment horizontal="center" wrapText="1"/>
    </xf>
    <xf numFmtId="0" fontId="1" fillId="0" borderId="6" xfId="0" applyFont="1" applyFill="1" applyBorder="1"/>
    <xf numFmtId="3" fontId="1" fillId="0" borderId="12" xfId="0" applyNumberFormat="1" applyFont="1" applyFill="1" applyBorder="1" applyAlignment="1">
      <alignment horizontal="center"/>
    </xf>
    <xf numFmtId="181" fontId="1" fillId="0" borderId="6" xfId="1" applyNumberFormat="1" applyFont="1" applyFill="1" applyBorder="1" applyAlignment="1">
      <alignment horizontal="center"/>
    </xf>
    <xf numFmtId="183" fontId="1" fillId="0" borderId="0" xfId="2" applyNumberFormat="1" applyFont="1" applyFill="1" applyBorder="1" applyAlignment="1">
      <alignment horizontal="center"/>
    </xf>
    <xf numFmtId="181" fontId="1" fillId="0" borderId="0" xfId="1" applyNumberFormat="1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left" vertical="top"/>
    </xf>
    <xf numFmtId="0" fontId="4" fillId="5" borderId="8" xfId="0" applyFont="1" applyFill="1" applyBorder="1" applyAlignment="1">
      <alignment horizontal="left" vertical="center"/>
    </xf>
    <xf numFmtId="0" fontId="1" fillId="0" borderId="5" xfId="0" applyFont="1" applyBorder="1"/>
    <xf numFmtId="0" fontId="1" fillId="0" borderId="5" xfId="0" applyFont="1" applyBorder="1" applyAlignment="1">
      <alignment horizontal="center" wrapText="1"/>
    </xf>
    <xf numFmtId="184" fontId="1" fillId="5" borderId="10" xfId="1" applyNumberFormat="1" applyFont="1" applyFill="1" applyBorder="1" applyAlignment="1">
      <alignment horizontal="center"/>
    </xf>
    <xf numFmtId="3" fontId="1" fillId="6" borderId="0" xfId="0" applyNumberFormat="1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 wrapText="1"/>
    </xf>
    <xf numFmtId="10" fontId="1" fillId="6" borderId="10" xfId="2" applyNumberFormat="1" applyFont="1" applyFill="1" applyBorder="1" applyAlignment="1">
      <alignment horizontal="center" wrapText="1"/>
    </xf>
    <xf numFmtId="176" fontId="1" fillId="6" borderId="10" xfId="1" applyNumberFormat="1" applyFont="1" applyFill="1" applyBorder="1" applyAlignment="1">
      <alignment horizontal="center" wrapText="1"/>
    </xf>
    <xf numFmtId="14" fontId="1" fillId="6" borderId="10" xfId="0" applyNumberFormat="1" applyFont="1" applyFill="1" applyBorder="1" applyAlignment="1">
      <alignment horizontal="center" wrapText="1"/>
    </xf>
    <xf numFmtId="9" fontId="1" fillId="6" borderId="10" xfId="0" applyNumberFormat="1" applyFont="1" applyFill="1" applyBorder="1" applyAlignment="1">
      <alignment horizontal="center" wrapText="1"/>
    </xf>
    <xf numFmtId="3" fontId="1" fillId="6" borderId="12" xfId="0" applyNumberFormat="1" applyFont="1" applyFill="1" applyBorder="1" applyAlignment="1">
      <alignment horizontal="center"/>
    </xf>
    <xf numFmtId="10" fontId="1" fillId="0" borderId="0" xfId="2" applyNumberFormat="1" applyFont="1" applyAlignment="1"/>
    <xf numFmtId="176" fontId="14" fillId="0" borderId="0" xfId="1" applyNumberFormat="1" applyFont="1" applyFill="1" applyBorder="1" applyAlignment="1">
      <alignment horizontal="center" vertical="center"/>
    </xf>
    <xf numFmtId="176" fontId="14" fillId="0" borderId="0" xfId="1" applyNumberFormat="1" applyFont="1" applyFill="1" applyBorder="1" applyAlignment="1">
      <alignment horizontal="center"/>
    </xf>
    <xf numFmtId="176" fontId="14" fillId="0" borderId="0" xfId="1" applyNumberFormat="1" applyFont="1" applyFill="1" applyBorder="1" applyAlignment="1">
      <alignment horizontal="center" wrapText="1"/>
    </xf>
    <xf numFmtId="182" fontId="1" fillId="6" borderId="0" xfId="2" quotePrefix="1" applyNumberFormat="1" applyFont="1" applyFill="1" applyBorder="1" applyAlignment="1">
      <alignment horizontal="center"/>
    </xf>
    <xf numFmtId="182" fontId="1" fillId="6" borderId="10" xfId="2" quotePrefix="1" applyNumberFormat="1" applyFont="1" applyFill="1" applyBorder="1" applyAlignment="1">
      <alignment horizontal="center"/>
    </xf>
    <xf numFmtId="10" fontId="1" fillId="6" borderId="0" xfId="2" applyNumberFormat="1" applyFont="1" applyFill="1" applyAlignment="1"/>
    <xf numFmtId="176" fontId="1" fillId="0" borderId="0" xfId="0" applyNumberFormat="1" applyFont="1"/>
    <xf numFmtId="10" fontId="1" fillId="0" borderId="0" xfId="0" applyNumberFormat="1" applyFont="1"/>
    <xf numFmtId="184" fontId="1" fillId="0" borderId="0" xfId="0" applyNumberFormat="1" applyFont="1" applyAlignment="1"/>
    <xf numFmtId="10" fontId="1" fillId="0" borderId="0" xfId="2" applyNumberFormat="1" applyFont="1" applyBorder="1" applyAlignment="1"/>
    <xf numFmtId="10" fontId="0" fillId="0" borderId="0" xfId="2" applyNumberFormat="1" applyFont="1" applyBorder="1" applyAlignment="1"/>
    <xf numFmtId="182" fontId="1" fillId="0" borderId="0" xfId="0" applyNumberFormat="1" applyFont="1" applyBorder="1" applyAlignment="1"/>
    <xf numFmtId="10" fontId="1" fillId="0" borderId="0" xfId="0" applyNumberFormat="1" applyFont="1" applyAlignment="1"/>
    <xf numFmtId="10" fontId="1" fillId="7" borderId="0" xfId="2" applyNumberFormat="1" applyFont="1" applyFill="1" applyBorder="1" applyAlignment="1">
      <alignment horizontal="center"/>
    </xf>
    <xf numFmtId="10" fontId="1" fillId="8" borderId="0" xfId="2" applyNumberFormat="1" applyFont="1" applyFill="1" applyBorder="1" applyAlignment="1">
      <alignment horizontal="center"/>
    </xf>
    <xf numFmtId="3" fontId="1" fillId="0" borderId="0" xfId="0" applyNumberFormat="1" applyFont="1" applyFill="1" applyBorder="1"/>
    <xf numFmtId="10" fontId="1" fillId="0" borderId="0" xfId="2" applyNumberFormat="1" applyFont="1" applyFill="1" applyBorder="1"/>
    <xf numFmtId="176" fontId="0" fillId="0" borderId="0" xfId="1" applyNumberFormat="1" applyFont="1" applyFill="1" applyBorder="1"/>
    <xf numFmtId="3" fontId="15" fillId="0" borderId="0" xfId="0" applyNumberFormat="1" applyFont="1" applyAlignment="1"/>
    <xf numFmtId="3" fontId="0" fillId="0" borderId="5" xfId="0" applyNumberFormat="1" applyFont="1" applyFill="1" applyBorder="1" applyAlignment="1">
      <alignment horizontal="left"/>
    </xf>
    <xf numFmtId="3" fontId="0" fillId="0" borderId="0" xfId="0" applyNumberFormat="1" applyFont="1" applyFill="1" applyBorder="1" applyAlignment="1">
      <alignment horizontal="left"/>
    </xf>
    <xf numFmtId="9" fontId="1" fillId="0" borderId="0" xfId="2" applyFont="1" applyFill="1" applyBorder="1" applyAlignment="1">
      <alignment horizontal="center"/>
    </xf>
    <xf numFmtId="9" fontId="0" fillId="0" borderId="0" xfId="0" applyNumberFormat="1"/>
    <xf numFmtId="10" fontId="0" fillId="0" borderId="0" xfId="2" applyNumberFormat="1" applyFont="1"/>
    <xf numFmtId="9" fontId="1" fillId="0" borderId="0" xfId="0" applyNumberFormat="1" applyFont="1"/>
    <xf numFmtId="0" fontId="16" fillId="9" borderId="20" xfId="0" applyFont="1" applyFill="1" applyBorder="1" applyAlignment="1">
      <alignment horizontal="center" vertical="center"/>
    </xf>
    <xf numFmtId="0" fontId="16" fillId="9" borderId="19" xfId="0" applyFont="1" applyFill="1" applyBorder="1" applyAlignment="1">
      <alignment horizontal="center" vertical="center"/>
    </xf>
    <xf numFmtId="9" fontId="17" fillId="9" borderId="20" xfId="0" applyNumberFormat="1" applyFont="1" applyFill="1" applyBorder="1" applyAlignment="1">
      <alignment horizontal="center" vertical="center"/>
    </xf>
    <xf numFmtId="10" fontId="17" fillId="9" borderId="19" xfId="0" applyNumberFormat="1" applyFont="1" applyFill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10" fontId="17" fillId="0" borderId="20" xfId="0" applyNumberFormat="1" applyFont="1" applyBorder="1" applyAlignment="1">
      <alignment horizontal="center" vertical="center"/>
    </xf>
    <xf numFmtId="10" fontId="17" fillId="0" borderId="19" xfId="0" applyNumberFormat="1" applyFont="1" applyBorder="1" applyAlignment="1">
      <alignment horizontal="center" vertical="center"/>
    </xf>
    <xf numFmtId="0" fontId="16" fillId="9" borderId="14" xfId="0" applyFont="1" applyFill="1" applyBorder="1" applyAlignment="1">
      <alignment horizontal="left" vertical="center"/>
    </xf>
    <xf numFmtId="0" fontId="16" fillId="9" borderId="15" xfId="0" applyFont="1" applyFill="1" applyBorder="1" applyAlignment="1">
      <alignment horizontal="left" vertical="center"/>
    </xf>
    <xf numFmtId="0" fontId="16" fillId="9" borderId="16" xfId="0" applyFont="1" applyFill="1" applyBorder="1" applyAlignment="1">
      <alignment horizontal="left" vertical="center"/>
    </xf>
    <xf numFmtId="0" fontId="16" fillId="9" borderId="17" xfId="0" applyFont="1" applyFill="1" applyBorder="1" applyAlignment="1">
      <alignment horizontal="justify" vertical="center"/>
    </xf>
    <xf numFmtId="0" fontId="16" fillId="9" borderId="18" xfId="0" applyFont="1" applyFill="1" applyBorder="1" applyAlignment="1">
      <alignment horizontal="justify" vertical="center"/>
    </xf>
    <xf numFmtId="0" fontId="16" fillId="9" borderId="19" xfId="0" applyFont="1" applyFill="1" applyBorder="1" applyAlignment="1">
      <alignment horizontal="justify" vertical="center"/>
    </xf>
    <xf numFmtId="0" fontId="18" fillId="0" borderId="21" xfId="0" applyFont="1" applyBorder="1" applyAlignment="1">
      <alignment horizontal="left" vertical="center"/>
    </xf>
    <xf numFmtId="0" fontId="18" fillId="0" borderId="22" xfId="0" applyFont="1" applyBorder="1" applyAlignment="1">
      <alignment horizontal="left" vertical="center"/>
    </xf>
    <xf numFmtId="0" fontId="18" fillId="0" borderId="23" xfId="0" applyFont="1" applyBorder="1" applyAlignment="1">
      <alignment horizontal="left" vertical="center"/>
    </xf>
  </cellXfs>
  <cellStyles count="13">
    <cellStyle name="Convergence" xfId="3"/>
    <cellStyle name="Euro" xfId="4"/>
    <cellStyle name="KPMG Heading 1" xfId="5"/>
    <cellStyle name="KPMG Heading 2" xfId="6"/>
    <cellStyle name="KPMG Heading 3" xfId="7"/>
    <cellStyle name="KPMG Heading 4" xfId="8"/>
    <cellStyle name="KPMG Normal" xfId="9"/>
    <cellStyle name="KPMG Normal Text" xfId="10"/>
    <cellStyle name="MultipleType" xfId="11"/>
    <cellStyle name="百分比" xfId="2" builtinId="5"/>
    <cellStyle name="常规" xfId="0" builtinId="0"/>
    <cellStyle name="千位分隔" xfId="1" builtinId="3"/>
    <cellStyle name="样式 1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ABS\&#19978;&#27773;&#37329;&#34701;\CMOCF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ABS\&#19978;&#27773;&#37329;&#34701;\European_RMBS-Cashflow_Mode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s"/>
      <sheetName val="Collateral"/>
      <sheetName val="Graphs"/>
      <sheetName val="Curves"/>
    </sheetNames>
    <sheetDataSet>
      <sheetData sheetId="0"/>
      <sheetData sheetId="1">
        <row r="8">
          <cell r="C8">
            <v>0.06</v>
          </cell>
        </row>
        <row r="19">
          <cell r="C19">
            <v>1000000</v>
          </cell>
        </row>
      </sheetData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Deal Structure"/>
      <sheetName val="Indiv. Scenarios"/>
      <sheetName val="WAFF Assumptions"/>
      <sheetName val="WALS Assumptions"/>
      <sheetName val="Prepayments"/>
      <sheetName val="Interest rates stresses"/>
      <sheetName val="Delinquency"/>
      <sheetName val="Mortgage Pool"/>
      <sheetName val="Bonds and Waterfalls"/>
      <sheetName val="Report"/>
      <sheetName val="Paydown chart"/>
      <sheetName val="SP Runs"/>
      <sheetName val="Fitch Runs"/>
      <sheetName val="Notes"/>
    </sheetNames>
    <sheetDataSet>
      <sheetData sheetId="0"/>
      <sheetData sheetId="1"/>
      <sheetData sheetId="2">
        <row r="6">
          <cell r="D6" t="b">
            <v>1</v>
          </cell>
        </row>
        <row r="7">
          <cell r="D7" t="b">
            <v>0</v>
          </cell>
        </row>
        <row r="8">
          <cell r="D8" t="b">
            <v>0</v>
          </cell>
        </row>
        <row r="28">
          <cell r="H28">
            <v>0.08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>
        <row r="1">
          <cell r="A1" t="b">
            <v>0</v>
          </cell>
        </row>
      </sheetData>
      <sheetData sheetId="13">
        <row r="1">
          <cell r="A1" t="b">
            <v>0</v>
          </cell>
        </row>
      </sheetData>
      <sheetData sheetId="1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l">
    <tabColor indexed="46"/>
  </sheetPr>
  <dimension ref="A2:T48"/>
  <sheetViews>
    <sheetView showGridLines="0" tabSelected="1" zoomScale="85" workbookViewId="0">
      <pane xSplit="4" ySplit="13" topLeftCell="H14" activePane="bottomRight" state="frozen"/>
      <selection pane="topRight" activeCell="E1" sqref="E1"/>
      <selection pane="bottomLeft" activeCell="A10" sqref="A10"/>
      <selection pane="bottomRight" activeCell="M26" sqref="M26:M27"/>
    </sheetView>
  </sheetViews>
  <sheetFormatPr defaultRowHeight="12.75"/>
  <cols>
    <col min="1" max="1" width="3.85546875" style="4" customWidth="1"/>
    <col min="2" max="2" width="13.28515625" style="4" customWidth="1"/>
    <col min="3" max="3" width="12.42578125" style="4" customWidth="1"/>
    <col min="4" max="4" width="3.5703125" style="4" customWidth="1"/>
    <col min="5" max="5" width="17.7109375" style="4" customWidth="1"/>
    <col min="6" max="6" width="16.7109375" style="4" customWidth="1"/>
    <col min="7" max="7" width="15.28515625" style="4" customWidth="1"/>
    <col min="8" max="8" width="15.5703125" style="4" customWidth="1"/>
    <col min="9" max="9" width="16.42578125" style="4" customWidth="1"/>
    <col min="10" max="10" width="3" style="4" customWidth="1"/>
    <col min="11" max="11" width="17.5703125" style="4" customWidth="1"/>
    <col min="12" max="12" width="15.85546875" style="4" customWidth="1"/>
    <col min="13" max="13" width="15.28515625" style="4" customWidth="1"/>
    <col min="14" max="14" width="16.42578125" style="4" customWidth="1"/>
    <col min="15" max="15" width="15.5703125" style="4" customWidth="1"/>
    <col min="16" max="18" width="16.42578125" style="4" customWidth="1"/>
    <col min="19" max="19" width="15.5703125" style="4" customWidth="1"/>
    <col min="20" max="20" width="3" style="4" customWidth="1"/>
    <col min="21" max="16384" width="9.140625" style="4"/>
  </cols>
  <sheetData>
    <row r="2" spans="1:20" s="3" customFormat="1" ht="12.75" customHeight="1">
      <c r="A2" s="1"/>
      <c r="B2" s="2"/>
      <c r="C2" s="2"/>
      <c r="D2" s="1"/>
      <c r="E2" s="2"/>
      <c r="F2" s="2"/>
      <c r="G2" s="2"/>
      <c r="H2" s="2"/>
      <c r="I2" s="2"/>
      <c r="J2" s="1"/>
      <c r="K2" s="2"/>
      <c r="L2" s="2"/>
      <c r="M2" s="2"/>
      <c r="N2" s="2"/>
      <c r="O2" s="2"/>
      <c r="P2" s="2"/>
      <c r="Q2" s="2"/>
      <c r="R2" s="2"/>
      <c r="S2" s="2"/>
      <c r="T2" s="1"/>
    </row>
    <row r="3" spans="1:20" s="3" customFormat="1" ht="12.75" customHeight="1">
      <c r="A3" s="1"/>
      <c r="B3" s="2"/>
      <c r="C3" s="2"/>
      <c r="D3" s="1"/>
      <c r="E3" s="2"/>
      <c r="F3" s="2"/>
      <c r="G3" s="2"/>
      <c r="H3" s="2"/>
      <c r="I3" s="2"/>
      <c r="J3" s="1"/>
      <c r="K3" s="2"/>
      <c r="L3" s="2"/>
      <c r="M3" s="2"/>
      <c r="N3" s="2"/>
      <c r="O3" s="2"/>
      <c r="P3" s="2"/>
      <c r="Q3" s="2"/>
      <c r="R3" s="2"/>
      <c r="S3" s="2"/>
      <c r="T3" s="1"/>
    </row>
    <row r="4" spans="1:20" s="3" customFormat="1" ht="12.75" customHeight="1">
      <c r="A4" s="1"/>
      <c r="B4" s="2"/>
      <c r="C4" s="2"/>
      <c r="D4" s="1"/>
      <c r="E4" s="2"/>
      <c r="F4" s="2"/>
      <c r="G4" s="2"/>
      <c r="H4" s="2"/>
      <c r="I4" s="2"/>
      <c r="J4" s="1"/>
      <c r="K4" s="2"/>
      <c r="L4" s="2"/>
      <c r="M4" s="2"/>
      <c r="N4" s="2"/>
      <c r="O4" s="2"/>
      <c r="P4" s="2"/>
      <c r="Q4" s="2"/>
      <c r="R4" s="2"/>
      <c r="S4" s="2"/>
      <c r="T4" s="1"/>
    </row>
    <row r="5" spans="1:20" s="3" customFormat="1" ht="12.75" customHeight="1">
      <c r="A5" s="1"/>
      <c r="B5" s="2"/>
      <c r="C5" s="2"/>
      <c r="D5" s="1"/>
      <c r="E5" s="83"/>
      <c r="F5" s="2"/>
      <c r="G5" s="2"/>
      <c r="H5" s="2"/>
      <c r="I5" s="2"/>
      <c r="J5" s="1"/>
      <c r="K5" s="2"/>
      <c r="L5" s="2"/>
      <c r="M5" s="2"/>
      <c r="N5" s="2"/>
      <c r="O5" s="2"/>
      <c r="P5" s="2"/>
      <c r="Q5" s="2"/>
      <c r="R5" s="2"/>
      <c r="S5" s="2"/>
      <c r="T5" s="1"/>
    </row>
    <row r="6" spans="1:20" s="7" customFormat="1">
      <c r="A6" s="4"/>
      <c r="B6" s="5"/>
      <c r="C6" s="5"/>
      <c r="D6" s="4"/>
      <c r="E6" s="5"/>
      <c r="F6" s="5"/>
      <c r="G6" s="5"/>
      <c r="H6" s="5"/>
      <c r="I6" s="5"/>
      <c r="J6" s="4"/>
      <c r="K6" s="5"/>
      <c r="L6" s="5"/>
      <c r="M6" s="5"/>
      <c r="N6" s="5"/>
      <c r="O6" s="5"/>
      <c r="P6" s="5"/>
      <c r="Q6" s="5"/>
      <c r="R6" s="5"/>
      <c r="S6" s="5"/>
      <c r="T6" s="4"/>
    </row>
    <row r="7" spans="1:20" s="7" customFormat="1" ht="18" customHeight="1">
      <c r="A7" s="4"/>
      <c r="B7" s="5"/>
      <c r="C7" s="5"/>
      <c r="D7" s="4"/>
      <c r="E7" s="8" t="s">
        <v>8</v>
      </c>
      <c r="F7" s="9"/>
      <c r="G7" s="9"/>
      <c r="H7" s="9"/>
      <c r="I7" s="10"/>
      <c r="J7" s="4"/>
      <c r="K7" s="8" t="s">
        <v>11</v>
      </c>
      <c r="L7" s="9"/>
      <c r="M7" s="9"/>
      <c r="N7" s="9"/>
      <c r="O7" s="9"/>
      <c r="P7" s="9"/>
      <c r="Q7" s="9"/>
      <c r="R7" s="9"/>
      <c r="S7" s="10"/>
      <c r="T7" s="4"/>
    </row>
    <row r="8" spans="1:20" s="17" customFormat="1">
      <c r="A8" s="11"/>
      <c r="B8" s="12"/>
      <c r="C8" s="12"/>
      <c r="D8" s="13"/>
      <c r="E8" s="14"/>
      <c r="F8" s="15"/>
      <c r="G8" s="15"/>
      <c r="H8" s="13"/>
      <c r="I8" s="45"/>
      <c r="J8" s="11"/>
      <c r="K8" s="14"/>
      <c r="L8" s="15"/>
      <c r="M8" s="15"/>
      <c r="N8" s="13"/>
      <c r="O8" s="13"/>
      <c r="P8" s="13" t="s">
        <v>69</v>
      </c>
      <c r="Q8" s="13" t="s">
        <v>70</v>
      </c>
      <c r="R8" s="13"/>
      <c r="S8" s="16"/>
      <c r="T8" s="11"/>
    </row>
    <row r="9" spans="1:20" s="7" customFormat="1">
      <c r="A9" s="4"/>
      <c r="B9" s="5"/>
      <c r="C9" s="5"/>
      <c r="D9" s="4"/>
      <c r="E9" s="18" t="s">
        <v>0</v>
      </c>
      <c r="F9" s="18" t="s">
        <v>1</v>
      </c>
      <c r="G9" s="18" t="s">
        <v>9</v>
      </c>
      <c r="H9" s="18" t="s">
        <v>10</v>
      </c>
      <c r="I9" s="37"/>
      <c r="J9" s="4"/>
      <c r="K9" s="18" t="s">
        <v>71</v>
      </c>
      <c r="L9" s="18" t="s">
        <v>64</v>
      </c>
      <c r="M9" s="18" t="s">
        <v>16</v>
      </c>
      <c r="N9" s="19"/>
      <c r="O9" s="91" t="s">
        <v>65</v>
      </c>
      <c r="P9" s="92">
        <v>0.4</v>
      </c>
      <c r="Q9" s="92">
        <v>0.4</v>
      </c>
      <c r="R9" s="19"/>
      <c r="S9" s="20"/>
      <c r="T9" s="4"/>
    </row>
    <row r="10" spans="1:20" s="24" customFormat="1">
      <c r="A10" s="21"/>
      <c r="B10" s="5"/>
      <c r="C10" s="22"/>
      <c r="D10" s="23"/>
      <c r="E10" s="64">
        <v>29</v>
      </c>
      <c r="F10" s="65"/>
      <c r="G10" s="66">
        <f>SUM(F16:F44)</f>
        <v>995000010.63999987</v>
      </c>
      <c r="H10" s="67">
        <v>42004</v>
      </c>
      <c r="I10" s="37"/>
      <c r="J10" s="21"/>
      <c r="K10" s="68">
        <v>0.01</v>
      </c>
      <c r="L10" s="65">
        <v>0.06</v>
      </c>
      <c r="M10" s="65">
        <v>0.75</v>
      </c>
      <c r="N10" s="19"/>
      <c r="O10" s="91" t="s">
        <v>66</v>
      </c>
      <c r="P10" s="92">
        <v>0.35</v>
      </c>
      <c r="Q10" s="92">
        <v>0.75</v>
      </c>
      <c r="R10" s="19"/>
      <c r="S10" s="20"/>
      <c r="T10" s="21"/>
    </row>
    <row r="11" spans="1:20" s="7" customFormat="1" ht="12.75" customHeight="1">
      <c r="A11" s="4"/>
      <c r="B11" s="5"/>
      <c r="C11" s="5"/>
      <c r="D11" s="4"/>
      <c r="E11" s="26"/>
      <c r="H11" s="19"/>
      <c r="I11" s="37"/>
      <c r="J11" s="4"/>
      <c r="K11" s="26"/>
      <c r="N11" s="19"/>
      <c r="O11" s="91" t="s">
        <v>67</v>
      </c>
      <c r="P11" s="92">
        <v>0.25</v>
      </c>
      <c r="Q11" s="92">
        <v>1</v>
      </c>
      <c r="R11" s="19"/>
      <c r="S11" s="20"/>
      <c r="T11" s="4"/>
    </row>
    <row r="12" spans="1:20">
      <c r="B12" s="6"/>
      <c r="C12" s="6"/>
      <c r="E12" s="26"/>
      <c r="H12" s="19"/>
      <c r="I12" s="37"/>
      <c r="K12" s="90" t="s">
        <v>72</v>
      </c>
      <c r="N12" s="19"/>
      <c r="O12" s="91" t="s">
        <v>68</v>
      </c>
      <c r="P12" s="19"/>
      <c r="Q12" s="92">
        <v>1</v>
      </c>
      <c r="R12" s="19"/>
      <c r="S12" s="20"/>
    </row>
    <row r="13" spans="1:20">
      <c r="B13" s="6"/>
      <c r="C13" s="6"/>
      <c r="E13" s="26"/>
      <c r="H13" s="19"/>
      <c r="I13" s="37"/>
      <c r="K13" s="26"/>
      <c r="N13" s="19"/>
      <c r="O13" s="19"/>
      <c r="P13" s="19"/>
      <c r="Q13" s="19"/>
      <c r="R13" s="19"/>
      <c r="S13" s="20"/>
    </row>
    <row r="14" spans="1:20" s="27" customFormat="1" ht="38.25">
      <c r="B14" s="28" t="s">
        <v>2</v>
      </c>
      <c r="C14" s="29" t="s">
        <v>3</v>
      </c>
      <c r="E14" s="28" t="s">
        <v>23</v>
      </c>
      <c r="F14" s="30" t="s">
        <v>5</v>
      </c>
      <c r="G14" s="30" t="s">
        <v>6</v>
      </c>
      <c r="H14" s="30" t="s">
        <v>7</v>
      </c>
      <c r="I14" s="29" t="s">
        <v>26</v>
      </c>
      <c r="K14" s="28" t="s">
        <v>23</v>
      </c>
      <c r="L14" s="30" t="s">
        <v>12</v>
      </c>
      <c r="M14" s="30" t="s">
        <v>63</v>
      </c>
      <c r="N14" s="30" t="s">
        <v>14</v>
      </c>
      <c r="O14" s="30" t="s">
        <v>13</v>
      </c>
      <c r="P14" s="30" t="s">
        <v>15</v>
      </c>
      <c r="Q14" s="30" t="s">
        <v>17</v>
      </c>
      <c r="R14" s="30" t="s">
        <v>51</v>
      </c>
      <c r="S14" s="29" t="s">
        <v>26</v>
      </c>
    </row>
    <row r="15" spans="1:20" s="7" customFormat="1" ht="13.5" thickBot="1">
      <c r="A15" s="4"/>
      <c r="B15" s="31" t="s">
        <v>4</v>
      </c>
      <c r="C15" s="39">
        <f>H10</f>
        <v>42004</v>
      </c>
      <c r="D15" s="32"/>
      <c r="E15" s="33"/>
      <c r="F15" s="34"/>
      <c r="G15" s="34"/>
      <c r="H15" s="34"/>
      <c r="I15" s="69">
        <f>G10</f>
        <v>995000010.63999987</v>
      </c>
      <c r="J15" s="19"/>
      <c r="K15" s="33"/>
      <c r="L15" s="34"/>
      <c r="M15" s="34"/>
      <c r="N15" s="40"/>
      <c r="O15" s="34"/>
      <c r="P15" s="40"/>
      <c r="Q15" s="40"/>
      <c r="R15" s="40"/>
      <c r="S15" s="41">
        <f>I15</f>
        <v>995000010.63999987</v>
      </c>
      <c r="T15" s="19"/>
    </row>
    <row r="16" spans="1:20" s="7" customFormat="1">
      <c r="A16" s="4"/>
      <c r="B16" s="35">
        <v>1</v>
      </c>
      <c r="C16" s="36">
        <f t="shared" ref="C16:C41" si="0">EOMONTH($C$15,(B16)*1)</f>
        <v>42035</v>
      </c>
      <c r="D16" s="32"/>
      <c r="E16" s="26">
        <f t="shared" ref="E16:E41" si="1">I15</f>
        <v>995000010.63999987</v>
      </c>
      <c r="F16" s="63">
        <v>30764555.129773602</v>
      </c>
      <c r="G16" s="63">
        <v>12445273.636731017</v>
      </c>
      <c r="H16" s="19">
        <f t="shared" ref="H16:H41" si="2">F16+G16</f>
        <v>43209828.766504616</v>
      </c>
      <c r="I16" s="37">
        <f t="shared" ref="I16:I41" si="3">E16-F16</f>
        <v>964235455.51022625</v>
      </c>
      <c r="J16" s="4"/>
      <c r="K16" s="26">
        <f>S15</f>
        <v>995000010.63999987</v>
      </c>
      <c r="L16" s="84">
        <f>$K$10*$P$9/6</f>
        <v>6.6666666666666664E-4</v>
      </c>
      <c r="M16" s="25">
        <f t="shared" ref="M16:M44" si="4">$L$10/12</f>
        <v>5.0000000000000001E-3</v>
      </c>
      <c r="N16" s="19">
        <f>L16*$K$16</f>
        <v>663333.34042666655</v>
      </c>
      <c r="O16" s="19">
        <f t="shared" ref="O16:O41" si="5">(K16-N16)*(F16/E16)</f>
        <v>30744045.426353749</v>
      </c>
      <c r="P16" s="19">
        <f>(K16-N16-O16)*M16</f>
        <v>4817963.1593660973</v>
      </c>
      <c r="Q16" s="19">
        <f>(G16/E16)*(K16-N16)</f>
        <v>12436976.787639864</v>
      </c>
      <c r="R16" s="19">
        <f>N16*(1-$M$10)</f>
        <v>165833.33510666664</v>
      </c>
      <c r="S16" s="37">
        <f>K16-O16-P16-N16</f>
        <v>958774668.71385336</v>
      </c>
      <c r="T16" s="4"/>
    </row>
    <row r="17" spans="1:20" s="7" customFormat="1">
      <c r="A17" s="4"/>
      <c r="B17" s="35">
        <f>B16+1</f>
        <v>2</v>
      </c>
      <c r="C17" s="36">
        <f t="shared" si="0"/>
        <v>42063</v>
      </c>
      <c r="D17" s="32"/>
      <c r="E17" s="26">
        <f t="shared" si="1"/>
        <v>964235455.51022625</v>
      </c>
      <c r="F17" s="63">
        <v>31148101.53185939</v>
      </c>
      <c r="G17" s="63">
        <v>12061727.234645247</v>
      </c>
      <c r="H17" s="19">
        <f t="shared" si="2"/>
        <v>43209828.766504638</v>
      </c>
      <c r="I17" s="37">
        <f t="shared" si="3"/>
        <v>933087353.97836685</v>
      </c>
      <c r="J17" s="38"/>
      <c r="K17" s="26">
        <f>S16</f>
        <v>958774668.71385336</v>
      </c>
      <c r="L17" s="84">
        <f t="shared" ref="L17:L21" si="6">$K$10*$P$9/6</f>
        <v>6.6666666666666664E-4</v>
      </c>
      <c r="M17" s="25">
        <f t="shared" si="4"/>
        <v>5.0000000000000001E-3</v>
      </c>
      <c r="N17" s="19">
        <f t="shared" ref="N17:N41" si="7">L17*$K$16</f>
        <v>663333.34042666655</v>
      </c>
      <c r="O17" s="19">
        <f t="shared" si="5"/>
        <v>30950271.515628137</v>
      </c>
      <c r="P17" s="19">
        <f t="shared" ref="P17:P41" si="8">(K17-N17-O17)*M17</f>
        <v>4635805.3192889933</v>
      </c>
      <c r="Q17" s="19">
        <f t="shared" ref="Q17:Q41" si="9">(G17/E17)*(K17-N17)</f>
        <v>11985119.943116864</v>
      </c>
      <c r="R17" s="19">
        <f t="shared" ref="R17:R41" si="10">N17*(1-$M$10)</f>
        <v>165833.33510666664</v>
      </c>
      <c r="S17" s="37">
        <f t="shared" ref="S17:S41" si="11">K17-O17-P17-N17</f>
        <v>922525258.53850961</v>
      </c>
      <c r="T17" s="38"/>
    </row>
    <row r="18" spans="1:20" s="7" customFormat="1">
      <c r="A18" s="4"/>
      <c r="B18" s="35">
        <f>B17+1</f>
        <v>3</v>
      </c>
      <c r="C18" s="36">
        <f t="shared" si="0"/>
        <v>42094</v>
      </c>
      <c r="D18" s="32"/>
      <c r="E18" s="26">
        <f t="shared" si="1"/>
        <v>933087353.97836685</v>
      </c>
      <c r="F18" s="63">
        <v>31536523.623515621</v>
      </c>
      <c r="G18" s="63">
        <v>11673305.142989008</v>
      </c>
      <c r="H18" s="19">
        <f t="shared" si="2"/>
        <v>43209828.76650463</v>
      </c>
      <c r="I18" s="37">
        <f t="shared" si="3"/>
        <v>901550830.35485125</v>
      </c>
      <c r="J18" s="38"/>
      <c r="K18" s="26">
        <f t="shared" ref="K18:K41" si="12">S17</f>
        <v>922525258.53850961</v>
      </c>
      <c r="L18" s="84">
        <f t="shared" si="6"/>
        <v>6.6666666666666664E-4</v>
      </c>
      <c r="M18" s="25">
        <f t="shared" si="4"/>
        <v>5.0000000000000001E-3</v>
      </c>
      <c r="N18" s="19">
        <f t="shared" si="7"/>
        <v>663333.34042666655</v>
      </c>
      <c r="O18" s="19">
        <f t="shared" si="5"/>
        <v>31157126.133662034</v>
      </c>
      <c r="P18" s="19">
        <f t="shared" si="8"/>
        <v>4453523.9953221045</v>
      </c>
      <c r="Q18" s="19">
        <f t="shared" si="9"/>
        <v>11532870.429181727</v>
      </c>
      <c r="R18" s="19">
        <f t="shared" si="10"/>
        <v>165833.33510666664</v>
      </c>
      <c r="S18" s="37">
        <f t="shared" si="11"/>
        <v>886251275.06909883</v>
      </c>
      <c r="T18" s="38"/>
    </row>
    <row r="19" spans="1:20" s="7" customFormat="1">
      <c r="A19" s="4"/>
      <c r="B19" s="35">
        <f>B18+1</f>
        <v>4</v>
      </c>
      <c r="C19" s="36">
        <f t="shared" si="0"/>
        <v>42124</v>
      </c>
      <c r="D19" s="32"/>
      <c r="E19" s="26">
        <f t="shared" si="1"/>
        <v>901550830.35485125</v>
      </c>
      <c r="F19" s="63">
        <v>31929884.672874164</v>
      </c>
      <c r="G19" s="63">
        <v>11279944.093630511</v>
      </c>
      <c r="H19" s="19">
        <f t="shared" si="2"/>
        <v>43209828.766504675</v>
      </c>
      <c r="I19" s="37">
        <f t="shared" si="3"/>
        <v>869620945.68197703</v>
      </c>
      <c r="J19" s="38"/>
      <c r="K19" s="26">
        <f t="shared" si="12"/>
        <v>886251275.06909883</v>
      </c>
      <c r="L19" s="84">
        <f t="shared" si="6"/>
        <v>6.6666666666666664E-4</v>
      </c>
      <c r="M19" s="25">
        <f t="shared" si="4"/>
        <v>5.0000000000000001E-3</v>
      </c>
      <c r="N19" s="19">
        <f t="shared" si="7"/>
        <v>663333.34042666655</v>
      </c>
      <c r="O19" s="19">
        <f t="shared" si="5"/>
        <v>31364533.085677221</v>
      </c>
      <c r="P19" s="19">
        <f t="shared" si="8"/>
        <v>4271117.0432149749</v>
      </c>
      <c r="Q19" s="19">
        <f t="shared" si="9"/>
        <v>11080221.032862792</v>
      </c>
      <c r="R19" s="19">
        <f t="shared" si="10"/>
        <v>165833.33510666664</v>
      </c>
      <c r="S19" s="37">
        <f t="shared" si="11"/>
        <v>849952291.59977996</v>
      </c>
      <c r="T19" s="38"/>
    </row>
    <row r="20" spans="1:20" s="7" customFormat="1">
      <c r="A20" s="4"/>
      <c r="B20" s="35">
        <f t="shared" ref="B20:B44" si="13">B19+1</f>
        <v>5</v>
      </c>
      <c r="C20" s="36">
        <f t="shared" si="0"/>
        <v>42155</v>
      </c>
      <c r="D20" s="32"/>
      <c r="E20" s="26">
        <f t="shared" si="1"/>
        <v>869620945.68197703</v>
      </c>
      <c r="F20" s="63">
        <v>32328248.786994614</v>
      </c>
      <c r="G20" s="63">
        <v>10881579.979510056</v>
      </c>
      <c r="H20" s="19">
        <f t="shared" si="2"/>
        <v>43209828.766504668</v>
      </c>
      <c r="I20" s="37">
        <f t="shared" si="3"/>
        <v>837292696.89498246</v>
      </c>
      <c r="J20" s="38"/>
      <c r="K20" s="26">
        <f t="shared" si="12"/>
        <v>849952291.59977996</v>
      </c>
      <c r="L20" s="84">
        <f t="shared" si="6"/>
        <v>6.6666666666666664E-4</v>
      </c>
      <c r="M20" s="25">
        <f t="shared" si="4"/>
        <v>5.0000000000000001E-3</v>
      </c>
      <c r="N20" s="19">
        <f t="shared" si="7"/>
        <v>663333.34042666655</v>
      </c>
      <c r="O20" s="19">
        <f t="shared" si="5"/>
        <v>31572405.047263667</v>
      </c>
      <c r="P20" s="19">
        <f t="shared" si="8"/>
        <v>4088582.7660604483</v>
      </c>
      <c r="Q20" s="19">
        <f t="shared" si="9"/>
        <v>10627165.51493185</v>
      </c>
      <c r="R20" s="19">
        <f t="shared" si="10"/>
        <v>165833.33510666664</v>
      </c>
      <c r="S20" s="37">
        <f t="shared" si="11"/>
        <v>813627970.44602919</v>
      </c>
      <c r="T20" s="38"/>
    </row>
    <row r="21" spans="1:20" s="7" customFormat="1">
      <c r="A21" s="4"/>
      <c r="B21" s="35">
        <f t="shared" si="13"/>
        <v>6</v>
      </c>
      <c r="C21" s="36">
        <f t="shared" si="0"/>
        <v>42185</v>
      </c>
      <c r="D21" s="32"/>
      <c r="E21" s="26">
        <f t="shared" si="1"/>
        <v>837292696.89498246</v>
      </c>
      <c r="F21" s="63">
        <v>32731680.92324274</v>
      </c>
      <c r="G21" s="63">
        <v>10478147.843261825</v>
      </c>
      <c r="H21" s="19">
        <f t="shared" si="2"/>
        <v>43209828.766504563</v>
      </c>
      <c r="I21" s="37">
        <f t="shared" si="3"/>
        <v>804561015.97173977</v>
      </c>
      <c r="J21" s="38"/>
      <c r="K21" s="26">
        <f t="shared" si="12"/>
        <v>813627970.44602919</v>
      </c>
      <c r="L21" s="84">
        <f t="shared" si="6"/>
        <v>6.6666666666666664E-4</v>
      </c>
      <c r="M21" s="25">
        <f t="shared" si="4"/>
        <v>5.0000000000000001E-3</v>
      </c>
      <c r="N21" s="19">
        <f t="shared" si="7"/>
        <v>663333.34042666655</v>
      </c>
      <c r="O21" s="19">
        <f t="shared" si="5"/>
        <v>31780641.587224942</v>
      </c>
      <c r="P21" s="19">
        <f t="shared" si="8"/>
        <v>3905919.9775918876</v>
      </c>
      <c r="Q21" s="19">
        <f t="shared" si="9"/>
        <v>10173698.74420942</v>
      </c>
      <c r="R21" s="19">
        <f t="shared" si="10"/>
        <v>165833.33510666664</v>
      </c>
      <c r="S21" s="37">
        <f t="shared" si="11"/>
        <v>777278075.54078567</v>
      </c>
      <c r="T21" s="38"/>
    </row>
    <row r="22" spans="1:20" s="7" customFormat="1">
      <c r="A22" s="4"/>
      <c r="B22" s="35">
        <f t="shared" si="13"/>
        <v>7</v>
      </c>
      <c r="C22" s="36">
        <f t="shared" si="0"/>
        <v>42216</v>
      </c>
      <c r="D22" s="32"/>
      <c r="E22" s="26">
        <f t="shared" si="1"/>
        <v>804561015.97173977</v>
      </c>
      <c r="F22" s="63">
        <v>33140246.900826763</v>
      </c>
      <c r="G22" s="63">
        <v>10069581.865677789</v>
      </c>
      <c r="H22" s="19">
        <f t="shared" si="2"/>
        <v>43209828.766504556</v>
      </c>
      <c r="I22" s="37">
        <f t="shared" si="3"/>
        <v>771420769.07091296</v>
      </c>
      <c r="J22" s="38"/>
      <c r="K22" s="26">
        <f t="shared" si="12"/>
        <v>777278075.54078567</v>
      </c>
      <c r="L22" s="85">
        <f>$K$10*$P$10/6</f>
        <v>5.8333333333333327E-4</v>
      </c>
      <c r="M22" s="25">
        <f t="shared" si="4"/>
        <v>5.0000000000000001E-3</v>
      </c>
      <c r="N22" s="19">
        <f t="shared" si="7"/>
        <v>580416.67287333321</v>
      </c>
      <c r="O22" s="19">
        <f t="shared" si="5"/>
        <v>31992542.108305242</v>
      </c>
      <c r="P22" s="19">
        <f t="shared" si="8"/>
        <v>3723525.5837980355</v>
      </c>
      <c r="Q22" s="19">
        <f t="shared" si="9"/>
        <v>9720854.6096464563</v>
      </c>
      <c r="R22" s="19">
        <f t="shared" si="10"/>
        <v>145104.1682183333</v>
      </c>
      <c r="S22" s="37">
        <f t="shared" si="11"/>
        <v>740981591.17580903</v>
      </c>
      <c r="T22" s="38"/>
    </row>
    <row r="23" spans="1:20" s="7" customFormat="1">
      <c r="A23" s="4"/>
      <c r="B23" s="35">
        <f t="shared" si="13"/>
        <v>8</v>
      </c>
      <c r="C23" s="36">
        <f t="shared" si="0"/>
        <v>42247</v>
      </c>
      <c r="D23" s="32"/>
      <c r="E23" s="26">
        <f t="shared" si="1"/>
        <v>771420769.07091296</v>
      </c>
      <c r="F23" s="63">
        <v>33554013.412493274</v>
      </c>
      <c r="G23" s="63">
        <v>9655815.354011301</v>
      </c>
      <c r="H23" s="19">
        <f t="shared" si="2"/>
        <v>43209828.766504571</v>
      </c>
      <c r="I23" s="37">
        <f t="shared" si="3"/>
        <v>737866755.65841973</v>
      </c>
      <c r="J23" s="38"/>
      <c r="K23" s="26">
        <f t="shared" si="12"/>
        <v>740981591.17580903</v>
      </c>
      <c r="L23" s="85">
        <f t="shared" ref="L23:L27" si="14">$K$10*$P$10/6</f>
        <v>5.8333333333333327E-4</v>
      </c>
      <c r="M23" s="25">
        <f t="shared" si="4"/>
        <v>5.0000000000000001E-3</v>
      </c>
      <c r="N23" s="19">
        <f t="shared" si="7"/>
        <v>580416.67287333321</v>
      </c>
      <c r="O23" s="19">
        <f t="shared" si="5"/>
        <v>32204773.239147183</v>
      </c>
      <c r="P23" s="19">
        <f t="shared" si="8"/>
        <v>3540982.0063189422</v>
      </c>
      <c r="Q23" s="19">
        <f t="shared" si="9"/>
        <v>9267545.4376264755</v>
      </c>
      <c r="R23" s="19">
        <f t="shared" si="10"/>
        <v>145104.1682183333</v>
      </c>
      <c r="S23" s="37">
        <f t="shared" si="11"/>
        <v>704655419.25746953</v>
      </c>
      <c r="T23" s="38"/>
    </row>
    <row r="24" spans="1:20" s="7" customFormat="1">
      <c r="A24" s="4"/>
      <c r="B24" s="35">
        <f t="shared" si="13"/>
        <v>9</v>
      </c>
      <c r="C24" s="36">
        <f t="shared" si="0"/>
        <v>42277</v>
      </c>
      <c r="D24" s="32"/>
      <c r="E24" s="26">
        <f t="shared" si="1"/>
        <v>737866755.65841973</v>
      </c>
      <c r="F24" s="63">
        <v>33973048.036386304</v>
      </c>
      <c r="G24" s="63">
        <v>9236780.7301182654</v>
      </c>
      <c r="H24" s="19">
        <f t="shared" si="2"/>
        <v>43209828.766504571</v>
      </c>
      <c r="I24" s="37">
        <f t="shared" si="3"/>
        <v>703893707.62203348</v>
      </c>
      <c r="J24" s="38"/>
      <c r="K24" s="26">
        <f t="shared" si="12"/>
        <v>704655419.25746953</v>
      </c>
      <c r="L24" s="85">
        <f t="shared" si="14"/>
        <v>5.8333333333333327E-4</v>
      </c>
      <c r="M24" s="25">
        <f t="shared" si="4"/>
        <v>5.0000000000000001E-3</v>
      </c>
      <c r="N24" s="19">
        <f t="shared" si="7"/>
        <v>580416.67287333321</v>
      </c>
      <c r="O24" s="19">
        <f t="shared" si="5"/>
        <v>32417199.583251547</v>
      </c>
      <c r="P24" s="19">
        <f t="shared" si="8"/>
        <v>3358289.0150067229</v>
      </c>
      <c r="Q24" s="19">
        <f t="shared" si="9"/>
        <v>8813768.0232363995</v>
      </c>
      <c r="R24" s="19">
        <f t="shared" si="10"/>
        <v>145104.1682183333</v>
      </c>
      <c r="S24" s="37">
        <f t="shared" si="11"/>
        <v>668299513.98633778</v>
      </c>
      <c r="T24" s="38"/>
    </row>
    <row r="25" spans="1:20" s="7" customFormat="1">
      <c r="A25" s="4"/>
      <c r="B25" s="35">
        <f t="shared" si="13"/>
        <v>10</v>
      </c>
      <c r="C25" s="36">
        <f t="shared" si="0"/>
        <v>42308</v>
      </c>
      <c r="D25" s="32"/>
      <c r="E25" s="26">
        <f t="shared" si="1"/>
        <v>703893707.62203348</v>
      </c>
      <c r="F25" s="63">
        <v>34397419.248071104</v>
      </c>
      <c r="G25" s="63">
        <v>8812409.5184335057</v>
      </c>
      <c r="H25" s="19">
        <f t="shared" si="2"/>
        <v>43209828.766504608</v>
      </c>
      <c r="I25" s="37">
        <f t="shared" si="3"/>
        <v>669496288.3739624</v>
      </c>
      <c r="J25" s="38"/>
      <c r="K25" s="26">
        <f t="shared" si="12"/>
        <v>668299513.98633778</v>
      </c>
      <c r="L25" s="85">
        <f t="shared" si="14"/>
        <v>5.8333333333333327E-4</v>
      </c>
      <c r="M25" s="25">
        <f t="shared" si="4"/>
        <v>5.0000000000000001E-3</v>
      </c>
      <c r="N25" s="19">
        <f t="shared" si="7"/>
        <v>580416.67287333321</v>
      </c>
      <c r="O25" s="19">
        <f t="shared" si="5"/>
        <v>32629661.952551141</v>
      </c>
      <c r="P25" s="19">
        <f t="shared" si="8"/>
        <v>3175447.1768045663</v>
      </c>
      <c r="Q25" s="19">
        <f t="shared" si="9"/>
        <v>8359520.8553343415</v>
      </c>
      <c r="R25" s="19">
        <f t="shared" si="10"/>
        <v>145104.1682183333</v>
      </c>
      <c r="S25" s="37">
        <f t="shared" si="11"/>
        <v>631913988.18410873</v>
      </c>
      <c r="T25" s="38"/>
    </row>
    <row r="26" spans="1:20" s="7" customFormat="1">
      <c r="A26" s="4"/>
      <c r="B26" s="35">
        <f t="shared" si="13"/>
        <v>11</v>
      </c>
      <c r="C26" s="36">
        <f t="shared" si="0"/>
        <v>42338</v>
      </c>
      <c r="D26" s="32"/>
      <c r="E26" s="26">
        <f t="shared" si="1"/>
        <v>669496288.3739624</v>
      </c>
      <c r="F26" s="63">
        <v>34827196.432724625</v>
      </c>
      <c r="G26" s="63">
        <v>8382632.3337799264</v>
      </c>
      <c r="H26" s="19">
        <f t="shared" si="2"/>
        <v>43209828.766504548</v>
      </c>
      <c r="I26" s="37">
        <f t="shared" si="3"/>
        <v>634669091.94123781</v>
      </c>
      <c r="J26" s="38"/>
      <c r="K26" s="26">
        <f t="shared" si="12"/>
        <v>631913988.18410873</v>
      </c>
      <c r="L26" s="85">
        <f t="shared" si="14"/>
        <v>5.8333333333333327E-4</v>
      </c>
      <c r="M26" s="25">
        <f t="shared" si="4"/>
        <v>5.0000000000000001E-3</v>
      </c>
      <c r="N26" s="19">
        <f t="shared" si="7"/>
        <v>580416.67287333321</v>
      </c>
      <c r="O26" s="19">
        <f t="shared" si="5"/>
        <v>32841971.92937047</v>
      </c>
      <c r="P26" s="19">
        <f t="shared" si="8"/>
        <v>2992457.9979093242</v>
      </c>
      <c r="Q26" s="19">
        <f t="shared" si="9"/>
        <v>7904804.405718741</v>
      </c>
      <c r="R26" s="19">
        <f t="shared" si="10"/>
        <v>145104.1682183333</v>
      </c>
      <c r="S26" s="37">
        <f t="shared" si="11"/>
        <v>595499141.58395553</v>
      </c>
      <c r="T26" s="38"/>
    </row>
    <row r="27" spans="1:20" s="7" customFormat="1">
      <c r="A27" s="4"/>
      <c r="B27" s="35">
        <f t="shared" si="13"/>
        <v>12</v>
      </c>
      <c r="C27" s="36">
        <f t="shared" si="0"/>
        <v>42369</v>
      </c>
      <c r="D27" s="32"/>
      <c r="E27" s="26">
        <f t="shared" si="1"/>
        <v>634669091.94123781</v>
      </c>
      <c r="F27" s="63">
        <v>35262449.897496521</v>
      </c>
      <c r="G27" s="63">
        <v>7947378.8690081723</v>
      </c>
      <c r="H27" s="19">
        <f t="shared" si="2"/>
        <v>43209828.76650469</v>
      </c>
      <c r="I27" s="37">
        <f t="shared" si="3"/>
        <v>599406642.04374123</v>
      </c>
      <c r="J27" s="38"/>
      <c r="K27" s="26">
        <f t="shared" si="12"/>
        <v>595499141.58395553</v>
      </c>
      <c r="L27" s="85">
        <f t="shared" si="14"/>
        <v>5.8333333333333327E-4</v>
      </c>
      <c r="M27" s="25">
        <f t="shared" si="4"/>
        <v>5.0000000000000001E-3</v>
      </c>
      <c r="N27" s="19">
        <f t="shared" si="7"/>
        <v>580416.67287333321</v>
      </c>
      <c r="O27" s="19">
        <f t="shared" si="5"/>
        <v>33053904.77751809</v>
      </c>
      <c r="P27" s="19">
        <f t="shared" si="8"/>
        <v>2809324.1006678208</v>
      </c>
      <c r="Q27" s="19">
        <f t="shared" si="9"/>
        <v>7449621.4849129226</v>
      </c>
      <c r="R27" s="19">
        <f t="shared" si="10"/>
        <v>145104.1682183333</v>
      </c>
      <c r="S27" s="37">
        <f t="shared" si="11"/>
        <v>559055496.03289628</v>
      </c>
      <c r="T27" s="38"/>
    </row>
    <row r="28" spans="1:20" s="7" customFormat="1">
      <c r="A28" s="4"/>
      <c r="B28" s="35">
        <f t="shared" si="13"/>
        <v>13</v>
      </c>
      <c r="C28" s="36">
        <f t="shared" si="0"/>
        <v>42400</v>
      </c>
      <c r="D28" s="32"/>
      <c r="E28" s="26">
        <f t="shared" si="1"/>
        <v>599406642.04374123</v>
      </c>
      <c r="F28" s="63">
        <v>35703250.884040222</v>
      </c>
      <c r="G28" s="63">
        <v>7506577.8824643744</v>
      </c>
      <c r="H28" s="19">
        <f t="shared" si="2"/>
        <v>43209828.766504593</v>
      </c>
      <c r="I28" s="37">
        <f t="shared" si="3"/>
        <v>563703391.15970099</v>
      </c>
      <c r="J28" s="38"/>
      <c r="K28" s="26">
        <f t="shared" si="12"/>
        <v>559055496.03289628</v>
      </c>
      <c r="L28" s="84">
        <f>$K$10*$P$11/6</f>
        <v>4.1666666666666669E-4</v>
      </c>
      <c r="M28" s="25">
        <f t="shared" si="4"/>
        <v>5.0000000000000001E-3</v>
      </c>
      <c r="N28" s="19">
        <f t="shared" si="7"/>
        <v>414583.33776666666</v>
      </c>
      <c r="O28" s="19">
        <f t="shared" si="5"/>
        <v>33275067.810456347</v>
      </c>
      <c r="P28" s="19">
        <f t="shared" si="8"/>
        <v>2626829.2244233666</v>
      </c>
      <c r="Q28" s="19">
        <f t="shared" si="9"/>
        <v>6996054.4734353404</v>
      </c>
      <c r="R28" s="19">
        <f t="shared" si="10"/>
        <v>103645.83444166667</v>
      </c>
      <c r="S28" s="37">
        <f t="shared" si="11"/>
        <v>522739015.66024995</v>
      </c>
      <c r="T28" s="38"/>
    </row>
    <row r="29" spans="1:20" s="7" customFormat="1">
      <c r="A29" s="4"/>
      <c r="B29" s="35">
        <f t="shared" si="13"/>
        <v>14</v>
      </c>
      <c r="C29" s="36">
        <f t="shared" si="0"/>
        <v>42429</v>
      </c>
      <c r="D29" s="32"/>
      <c r="E29" s="26">
        <f t="shared" si="1"/>
        <v>563703391.15970099</v>
      </c>
      <c r="F29" s="63">
        <v>36149671.581221104</v>
      </c>
      <c r="G29" s="63">
        <v>7060157.1852834392</v>
      </c>
      <c r="H29" s="19">
        <f t="shared" si="2"/>
        <v>43209828.766504541</v>
      </c>
      <c r="I29" s="37">
        <f t="shared" si="3"/>
        <v>527553719.57847989</v>
      </c>
      <c r="J29" s="38"/>
      <c r="K29" s="26">
        <f t="shared" si="12"/>
        <v>522739015.66024995</v>
      </c>
      <c r="L29" s="84">
        <f t="shared" ref="L29:L33" si="15">$K$10*$P$11/6</f>
        <v>4.1666666666666669E-4</v>
      </c>
      <c r="M29" s="25">
        <f t="shared" si="4"/>
        <v>5.0000000000000001E-3</v>
      </c>
      <c r="N29" s="19">
        <f t="shared" si="7"/>
        <v>414583.33776666666</v>
      </c>
      <c r="O29" s="19">
        <f t="shared" si="5"/>
        <v>33496084.968479753</v>
      </c>
      <c r="P29" s="19">
        <f t="shared" si="8"/>
        <v>2444141.736770018</v>
      </c>
      <c r="Q29" s="19">
        <f t="shared" si="9"/>
        <v>6541902.446824071</v>
      </c>
      <c r="R29" s="19">
        <f t="shared" si="10"/>
        <v>103645.83444166667</v>
      </c>
      <c r="S29" s="37">
        <f t="shared" si="11"/>
        <v>486384205.61723351</v>
      </c>
      <c r="T29" s="38"/>
    </row>
    <row r="30" spans="1:20" s="7" customFormat="1">
      <c r="A30" s="4"/>
      <c r="B30" s="35">
        <f t="shared" si="13"/>
        <v>15</v>
      </c>
      <c r="C30" s="36">
        <f t="shared" si="0"/>
        <v>42460</v>
      </c>
      <c r="D30" s="32"/>
      <c r="E30" s="26">
        <f t="shared" si="1"/>
        <v>527553719.57847989</v>
      </c>
      <c r="F30" s="63">
        <v>36601785.137999177</v>
      </c>
      <c r="G30" s="63">
        <v>6608043.6285054898</v>
      </c>
      <c r="H30" s="19">
        <f t="shared" si="2"/>
        <v>43209828.766504668</v>
      </c>
      <c r="I30" s="37">
        <f t="shared" si="3"/>
        <v>490951934.44048071</v>
      </c>
      <c r="J30" s="38"/>
      <c r="K30" s="26">
        <f t="shared" si="12"/>
        <v>486384205.61723351</v>
      </c>
      <c r="L30" s="84">
        <f t="shared" si="15"/>
        <v>4.1666666666666669E-4</v>
      </c>
      <c r="M30" s="25">
        <f t="shared" si="4"/>
        <v>5.0000000000000001E-3</v>
      </c>
      <c r="N30" s="19">
        <f t="shared" si="7"/>
        <v>414583.33776666666</v>
      </c>
      <c r="O30" s="19">
        <f t="shared" si="5"/>
        <v>33716671.948555149</v>
      </c>
      <c r="P30" s="19">
        <f t="shared" si="8"/>
        <v>2261264.7516545583</v>
      </c>
      <c r="Q30" s="19">
        <f t="shared" si="9"/>
        <v>6087168.6559558613</v>
      </c>
      <c r="R30" s="19">
        <f t="shared" si="10"/>
        <v>103645.83444166667</v>
      </c>
      <c r="S30" s="37">
        <f t="shared" si="11"/>
        <v>449991685.57925713</v>
      </c>
      <c r="T30" s="38"/>
    </row>
    <row r="31" spans="1:20" s="7" customFormat="1">
      <c r="A31" s="4"/>
      <c r="B31" s="35">
        <f t="shared" si="13"/>
        <v>16</v>
      </c>
      <c r="C31" s="36">
        <f t="shared" si="0"/>
        <v>42490</v>
      </c>
      <c r="D31" s="32"/>
      <c r="E31" s="26">
        <f t="shared" si="1"/>
        <v>490951934.44048071</v>
      </c>
      <c r="F31" s="63">
        <v>37059665.676491685</v>
      </c>
      <c r="G31" s="63">
        <v>6150163.0900129275</v>
      </c>
      <c r="H31" s="19">
        <f t="shared" si="2"/>
        <v>43209828.766504616</v>
      </c>
      <c r="I31" s="37">
        <f t="shared" si="3"/>
        <v>453892268.76398903</v>
      </c>
      <c r="J31" s="38"/>
      <c r="K31" s="26">
        <f t="shared" si="12"/>
        <v>449991685.57925713</v>
      </c>
      <c r="L31" s="84">
        <f t="shared" si="15"/>
        <v>4.1666666666666669E-4</v>
      </c>
      <c r="M31" s="25">
        <f t="shared" si="4"/>
        <v>5.0000000000000001E-3</v>
      </c>
      <c r="N31" s="19">
        <f t="shared" si="7"/>
        <v>414583.33776666666</v>
      </c>
      <c r="O31" s="19">
        <f t="shared" si="5"/>
        <v>33936473.076256782</v>
      </c>
      <c r="P31" s="19">
        <f t="shared" si="8"/>
        <v>2078203.1458261686</v>
      </c>
      <c r="Q31" s="19">
        <f t="shared" si="9"/>
        <v>5631859.875390281</v>
      </c>
      <c r="R31" s="19">
        <f t="shared" si="10"/>
        <v>103645.83444166667</v>
      </c>
      <c r="S31" s="37">
        <f t="shared" si="11"/>
        <v>413562426.01940757</v>
      </c>
      <c r="T31" s="38"/>
    </row>
    <row r="32" spans="1:20" s="7" customFormat="1">
      <c r="A32" s="4"/>
      <c r="B32" s="35">
        <f t="shared" si="13"/>
        <v>17</v>
      </c>
      <c r="C32" s="36">
        <f t="shared" si="0"/>
        <v>42521</v>
      </c>
      <c r="D32" s="32"/>
      <c r="E32" s="26">
        <f t="shared" si="1"/>
        <v>453892268.76398903</v>
      </c>
      <c r="F32" s="63">
        <v>37523388.305219159</v>
      </c>
      <c r="G32" s="63">
        <v>5686440.4612854486</v>
      </c>
      <c r="H32" s="19">
        <f t="shared" si="2"/>
        <v>43209828.766504608</v>
      </c>
      <c r="I32" s="37">
        <f t="shared" si="3"/>
        <v>416368880.45876986</v>
      </c>
      <c r="J32" s="38"/>
      <c r="K32" s="26">
        <f t="shared" si="12"/>
        <v>413562426.01940757</v>
      </c>
      <c r="L32" s="84">
        <f t="shared" si="15"/>
        <v>4.1666666666666669E-4</v>
      </c>
      <c r="M32" s="25">
        <f t="shared" si="4"/>
        <v>5.0000000000000001E-3</v>
      </c>
      <c r="N32" s="19">
        <f t="shared" si="7"/>
        <v>414583.33776666666</v>
      </c>
      <c r="O32" s="19">
        <f t="shared" si="5"/>
        <v>34155036.327503018</v>
      </c>
      <c r="P32" s="19">
        <f t="shared" si="8"/>
        <v>1894964.0317706894</v>
      </c>
      <c r="Q32" s="19">
        <f t="shared" si="9"/>
        <v>5175987.2789092781</v>
      </c>
      <c r="R32" s="19">
        <f t="shared" si="10"/>
        <v>103645.83444166667</v>
      </c>
      <c r="S32" s="37">
        <f t="shared" si="11"/>
        <v>377097842.32236719</v>
      </c>
      <c r="T32" s="38"/>
    </row>
    <row r="33" spans="1:20" s="7" customFormat="1">
      <c r="A33" s="4"/>
      <c r="B33" s="35">
        <f t="shared" si="13"/>
        <v>18</v>
      </c>
      <c r="C33" s="36">
        <f t="shared" si="0"/>
        <v>42551</v>
      </c>
      <c r="D33" s="32"/>
      <c r="E33" s="26">
        <f t="shared" si="1"/>
        <v>416368880.45876986</v>
      </c>
      <c r="F33" s="63">
        <v>37993029.132533953</v>
      </c>
      <c r="G33" s="63">
        <v>5216799.6339706164</v>
      </c>
      <c r="H33" s="19">
        <f t="shared" si="2"/>
        <v>43209828.766504571</v>
      </c>
      <c r="I33" s="37">
        <f t="shared" si="3"/>
        <v>378375851.32623589</v>
      </c>
      <c r="J33" s="38"/>
      <c r="K33" s="26">
        <f t="shared" si="12"/>
        <v>377097842.32236719</v>
      </c>
      <c r="L33" s="84">
        <f t="shared" si="15"/>
        <v>4.1666666666666669E-4</v>
      </c>
      <c r="M33" s="25">
        <f t="shared" si="4"/>
        <v>5.0000000000000001E-3</v>
      </c>
      <c r="N33" s="19">
        <f t="shared" si="7"/>
        <v>414583.33776666666</v>
      </c>
      <c r="O33" s="19">
        <f t="shared" si="5"/>
        <v>34371776.335856386</v>
      </c>
      <c r="P33" s="19">
        <f t="shared" si="8"/>
        <v>1711557.4132437208</v>
      </c>
      <c r="Q33" s="19">
        <f t="shared" si="9"/>
        <v>4719567.6233740803</v>
      </c>
      <c r="R33" s="19">
        <f t="shared" si="10"/>
        <v>103645.83444166667</v>
      </c>
      <c r="S33" s="37">
        <f t="shared" si="11"/>
        <v>340599925.23550045</v>
      </c>
      <c r="T33" s="38"/>
    </row>
    <row r="34" spans="1:20" s="7" customFormat="1">
      <c r="A34" s="4"/>
      <c r="B34" s="35">
        <f t="shared" si="13"/>
        <v>19</v>
      </c>
      <c r="C34" s="36">
        <f t="shared" si="0"/>
        <v>42582</v>
      </c>
      <c r="D34" s="32"/>
      <c r="E34" s="26">
        <f t="shared" si="1"/>
        <v>378375851.32623589</v>
      </c>
      <c r="F34" s="63">
        <v>38468665.280237421</v>
      </c>
      <c r="G34" s="63">
        <v>4741163.4862671336</v>
      </c>
      <c r="H34" s="19">
        <f t="shared" si="2"/>
        <v>43209828.766504556</v>
      </c>
      <c r="I34" s="37">
        <f t="shared" si="3"/>
        <v>339907186.04599845</v>
      </c>
      <c r="J34" s="38"/>
      <c r="K34" s="26">
        <f t="shared" si="12"/>
        <v>340599925.23550045</v>
      </c>
      <c r="L34" s="25">
        <v>0</v>
      </c>
      <c r="M34" s="25">
        <f t="shared" si="4"/>
        <v>5.0000000000000001E-3</v>
      </c>
      <c r="N34" s="19">
        <f t="shared" si="7"/>
        <v>0</v>
      </c>
      <c r="O34" s="19">
        <f t="shared" si="5"/>
        <v>34628067.495410644</v>
      </c>
      <c r="P34" s="19">
        <f t="shared" si="8"/>
        <v>1529859.2887004493</v>
      </c>
      <c r="Q34" s="19">
        <f t="shared" si="9"/>
        <v>4267819.7440236602</v>
      </c>
      <c r="R34" s="19">
        <f t="shared" si="10"/>
        <v>0</v>
      </c>
      <c r="S34" s="37">
        <f t="shared" si="11"/>
        <v>304441998.45138937</v>
      </c>
      <c r="T34" s="38"/>
    </row>
    <row r="35" spans="1:20" s="7" customFormat="1">
      <c r="A35" s="4"/>
      <c r="B35" s="35">
        <f t="shared" si="13"/>
        <v>20</v>
      </c>
      <c r="C35" s="36">
        <f t="shared" si="0"/>
        <v>42613</v>
      </c>
      <c r="D35" s="32"/>
      <c r="E35" s="26">
        <f t="shared" si="1"/>
        <v>339907186.04599845</v>
      </c>
      <c r="F35" s="63">
        <v>38950374.897386447</v>
      </c>
      <c r="G35" s="63">
        <v>4259453.8691183142</v>
      </c>
      <c r="H35" s="19">
        <f t="shared" si="2"/>
        <v>43209828.766504765</v>
      </c>
      <c r="I35" s="37">
        <f t="shared" si="3"/>
        <v>300956811.14861202</v>
      </c>
      <c r="J35" s="38"/>
      <c r="K35" s="26">
        <f t="shared" si="12"/>
        <v>304441998.45138937</v>
      </c>
      <c r="L35" s="25">
        <v>0</v>
      </c>
      <c r="M35" s="25">
        <f t="shared" si="4"/>
        <v>5.0000000000000001E-3</v>
      </c>
      <c r="N35" s="19">
        <f t="shared" si="7"/>
        <v>0</v>
      </c>
      <c r="O35" s="19">
        <f t="shared" si="5"/>
        <v>34886376.225616015</v>
      </c>
      <c r="P35" s="19">
        <f t="shared" si="8"/>
        <v>1347778.1111288667</v>
      </c>
      <c r="Q35" s="19">
        <f t="shared" si="9"/>
        <v>3815031.5776213007</v>
      </c>
      <c r="R35" s="19">
        <f t="shared" si="10"/>
        <v>0</v>
      </c>
      <c r="S35" s="37">
        <f t="shared" si="11"/>
        <v>268207844.11464447</v>
      </c>
      <c r="T35" s="38"/>
    </row>
    <row r="36" spans="1:20" s="7" customFormat="1">
      <c r="A36" s="4"/>
      <c r="B36" s="35">
        <f t="shared" si="13"/>
        <v>21</v>
      </c>
      <c r="C36" s="36">
        <f t="shared" si="0"/>
        <v>42643</v>
      </c>
      <c r="D36" s="32"/>
      <c r="E36" s="26">
        <f t="shared" si="1"/>
        <v>300956811.14861202</v>
      </c>
      <c r="F36" s="63">
        <v>39438237.174291529</v>
      </c>
      <c r="G36" s="63">
        <v>3771591.5922129606</v>
      </c>
      <c r="H36" s="19">
        <f t="shared" si="2"/>
        <v>43209828.766504489</v>
      </c>
      <c r="I36" s="37">
        <f t="shared" si="3"/>
        <v>261518573.9743205</v>
      </c>
      <c r="J36" s="38"/>
      <c r="K36" s="26">
        <f t="shared" si="12"/>
        <v>268207844.11464447</v>
      </c>
      <c r="L36" s="25">
        <v>0</v>
      </c>
      <c r="M36" s="25">
        <f t="shared" si="4"/>
        <v>5.0000000000000001E-3</v>
      </c>
      <c r="N36" s="19">
        <f t="shared" si="7"/>
        <v>0</v>
      </c>
      <c r="O36" s="19">
        <f t="shared" si="5"/>
        <v>35146719.317728065</v>
      </c>
      <c r="P36" s="19">
        <f t="shared" si="8"/>
        <v>1165305.623984582</v>
      </c>
      <c r="Q36" s="19">
        <f t="shared" si="9"/>
        <v>3361181.4464928177</v>
      </c>
      <c r="R36" s="19">
        <f t="shared" si="10"/>
        <v>0</v>
      </c>
      <c r="S36" s="37">
        <f t="shared" si="11"/>
        <v>231895819.17293182</v>
      </c>
      <c r="T36" s="38"/>
    </row>
    <row r="37" spans="1:20" s="7" customFormat="1">
      <c r="A37" s="4"/>
      <c r="B37" s="35">
        <f t="shared" si="13"/>
        <v>22</v>
      </c>
      <c r="C37" s="36">
        <f t="shared" si="0"/>
        <v>42674</v>
      </c>
      <c r="D37" s="32"/>
      <c r="E37" s="26">
        <f t="shared" si="1"/>
        <v>261518573.9743205</v>
      </c>
      <c r="F37" s="63">
        <v>39932332.356713727</v>
      </c>
      <c r="G37" s="63">
        <v>3277496.4097909052</v>
      </c>
      <c r="H37" s="19">
        <f t="shared" si="2"/>
        <v>43209828.76650463</v>
      </c>
      <c r="I37" s="37">
        <f t="shared" si="3"/>
        <v>221586241.61760676</v>
      </c>
      <c r="J37" s="38"/>
      <c r="K37" s="26">
        <f t="shared" si="12"/>
        <v>231895819.17293182</v>
      </c>
      <c r="L37" s="25">
        <v>0</v>
      </c>
      <c r="M37" s="25">
        <f t="shared" si="4"/>
        <v>5.0000000000000001E-3</v>
      </c>
      <c r="N37" s="19">
        <f t="shared" si="7"/>
        <v>0</v>
      </c>
      <c r="O37" s="19">
        <f t="shared" si="5"/>
        <v>35409113.710811183</v>
      </c>
      <c r="P37" s="19">
        <f t="shared" si="8"/>
        <v>982433.5273106033</v>
      </c>
      <c r="Q37" s="19">
        <f t="shared" si="9"/>
        <v>2906247.5495887189</v>
      </c>
      <c r="R37" s="19">
        <f t="shared" si="10"/>
        <v>0</v>
      </c>
      <c r="S37" s="37">
        <f t="shared" si="11"/>
        <v>195504271.93481004</v>
      </c>
      <c r="T37" s="38"/>
    </row>
    <row r="38" spans="1:20" s="7" customFormat="1">
      <c r="A38" s="4"/>
      <c r="B38" s="35">
        <f t="shared" si="13"/>
        <v>23</v>
      </c>
      <c r="C38" s="36">
        <f t="shared" si="0"/>
        <v>42704</v>
      </c>
      <c r="D38" s="32"/>
      <c r="E38" s="26">
        <f t="shared" si="1"/>
        <v>221586241.61760676</v>
      </c>
      <c r="F38" s="63">
        <v>40432741.760254174</v>
      </c>
      <c r="G38" s="63">
        <v>2777087.0062504411</v>
      </c>
      <c r="H38" s="19">
        <f t="shared" si="2"/>
        <v>43209828.766504616</v>
      </c>
      <c r="I38" s="37">
        <f t="shared" si="3"/>
        <v>181153499.85735258</v>
      </c>
      <c r="J38" s="38"/>
      <c r="K38" s="26">
        <f t="shared" si="12"/>
        <v>195504271.93481004</v>
      </c>
      <c r="L38" s="25">
        <v>0</v>
      </c>
      <c r="M38" s="25">
        <f t="shared" si="4"/>
        <v>5.0000000000000001E-3</v>
      </c>
      <c r="N38" s="19">
        <f t="shared" si="7"/>
        <v>0</v>
      </c>
      <c r="O38" s="19">
        <f t="shared" si="5"/>
        <v>35673576.493111052</v>
      </c>
      <c r="P38" s="19">
        <f t="shared" si="8"/>
        <v>799153.47720849502</v>
      </c>
      <c r="Q38" s="19">
        <f t="shared" si="9"/>
        <v>2450207.960986841</v>
      </c>
      <c r="R38" s="19">
        <f t="shared" si="10"/>
        <v>0</v>
      </c>
      <c r="S38" s="37">
        <f t="shared" si="11"/>
        <v>159031541.9644905</v>
      </c>
      <c r="T38" s="38"/>
    </row>
    <row r="39" spans="1:20" s="7" customFormat="1">
      <c r="A39" s="4"/>
      <c r="B39" s="35">
        <f t="shared" si="13"/>
        <v>24</v>
      </c>
      <c r="C39" s="36">
        <f t="shared" si="0"/>
        <v>42735</v>
      </c>
      <c r="D39" s="32"/>
      <c r="E39" s="26">
        <f t="shared" si="1"/>
        <v>181153499.85735258</v>
      </c>
      <c r="F39" s="63">
        <v>40939547.784949861</v>
      </c>
      <c r="G39" s="63">
        <v>2270280.9815547862</v>
      </c>
      <c r="H39" s="19">
        <f t="shared" si="2"/>
        <v>43209828.766504645</v>
      </c>
      <c r="I39" s="37">
        <f t="shared" si="3"/>
        <v>140213952.07240272</v>
      </c>
      <c r="J39" s="38"/>
      <c r="K39" s="26">
        <f t="shared" si="12"/>
        <v>159031541.9644905</v>
      </c>
      <c r="L39" s="25">
        <v>0</v>
      </c>
      <c r="M39" s="25">
        <f t="shared" si="4"/>
        <v>5.0000000000000001E-3</v>
      </c>
      <c r="N39" s="19">
        <f t="shared" si="7"/>
        <v>0</v>
      </c>
      <c r="O39" s="19">
        <f t="shared" si="5"/>
        <v>35940124.903445333</v>
      </c>
      <c r="P39" s="19">
        <f t="shared" si="8"/>
        <v>615457.08530522592</v>
      </c>
      <c r="Q39" s="19">
        <f t="shared" si="9"/>
        <v>1993040.6283821</v>
      </c>
      <c r="R39" s="19">
        <f t="shared" si="10"/>
        <v>0</v>
      </c>
      <c r="S39" s="37">
        <f t="shared" si="11"/>
        <v>122475959.97573994</v>
      </c>
      <c r="T39" s="38"/>
    </row>
    <row r="40" spans="1:20" s="7" customFormat="1">
      <c r="A40" s="4"/>
      <c r="B40" s="35">
        <f t="shared" si="13"/>
        <v>25</v>
      </c>
      <c r="C40" s="36">
        <f t="shared" si="0"/>
        <v>42766</v>
      </c>
      <c r="D40" s="32"/>
      <c r="E40" s="26">
        <f t="shared" si="1"/>
        <v>140213952.07240272</v>
      </c>
      <c r="F40" s="63">
        <v>41452833.930069916</v>
      </c>
      <c r="G40" s="63">
        <v>1756994.8364347385</v>
      </c>
      <c r="H40" s="19">
        <f t="shared" si="2"/>
        <v>43209828.766504653</v>
      </c>
      <c r="I40" s="37">
        <f t="shared" si="3"/>
        <v>98761118.142332792</v>
      </c>
      <c r="J40" s="38"/>
      <c r="K40" s="26">
        <f t="shared" si="12"/>
        <v>122475959.97573994</v>
      </c>
      <c r="L40" s="25">
        <v>0</v>
      </c>
      <c r="M40" s="25">
        <f t="shared" si="4"/>
        <v>5.0000000000000001E-3</v>
      </c>
      <c r="N40" s="19">
        <f t="shared" si="7"/>
        <v>0</v>
      </c>
      <c r="O40" s="19">
        <f t="shared" si="5"/>
        <v>36208776.332605079</v>
      </c>
      <c r="P40" s="19">
        <f t="shared" si="8"/>
        <v>431335.91821567435</v>
      </c>
      <c r="Q40" s="19">
        <f t="shared" si="9"/>
        <v>1534723.3715632281</v>
      </c>
      <c r="R40" s="19">
        <f t="shared" si="10"/>
        <v>0</v>
      </c>
      <c r="S40" s="37">
        <f t="shared" si="11"/>
        <v>85835847.724919185</v>
      </c>
      <c r="T40" s="38"/>
    </row>
    <row r="41" spans="1:20" s="7" customFormat="1">
      <c r="A41" s="4"/>
      <c r="B41" s="35">
        <f t="shared" si="13"/>
        <v>26</v>
      </c>
      <c r="C41" s="36">
        <f t="shared" si="0"/>
        <v>42794</v>
      </c>
      <c r="D41" s="32"/>
      <c r="E41" s="26">
        <f t="shared" si="1"/>
        <v>98761118.142332792</v>
      </c>
      <c r="F41" s="63">
        <v>41972684.809120215</v>
      </c>
      <c r="G41" s="63">
        <v>1237143.9573845738</v>
      </c>
      <c r="H41" s="19">
        <f t="shared" si="2"/>
        <v>43209828.766504787</v>
      </c>
      <c r="I41" s="37">
        <f t="shared" si="3"/>
        <v>56788433.333212577</v>
      </c>
      <c r="J41" s="38"/>
      <c r="K41" s="26">
        <f t="shared" si="12"/>
        <v>85835847.724919185</v>
      </c>
      <c r="L41" s="25">
        <v>0</v>
      </c>
      <c r="M41" s="25">
        <f t="shared" si="4"/>
        <v>5.0000000000000001E-3</v>
      </c>
      <c r="N41" s="19">
        <f t="shared" si="7"/>
        <v>0</v>
      </c>
      <c r="O41" s="19">
        <f t="shared" si="5"/>
        <v>36479548.324771248</v>
      </c>
      <c r="P41" s="19">
        <f t="shared" si="8"/>
        <v>246781.49700073968</v>
      </c>
      <c r="Q41" s="19">
        <f t="shared" si="9"/>
        <v>1075233.8808763297</v>
      </c>
      <c r="R41" s="19">
        <f t="shared" si="10"/>
        <v>0</v>
      </c>
      <c r="S41" s="37">
        <f t="shared" si="11"/>
        <v>49109517.903147198</v>
      </c>
      <c r="T41" s="38"/>
    </row>
    <row r="42" spans="1:20">
      <c r="B42" s="35">
        <f t="shared" si="13"/>
        <v>27</v>
      </c>
      <c r="C42" s="36">
        <f t="shared" ref="C42:C44" si="16">EOMONTH($C$15,(B42)*1)</f>
        <v>42825</v>
      </c>
      <c r="D42" s="32"/>
      <c r="E42" s="26">
        <f t="shared" ref="E42:E44" si="17">I41</f>
        <v>56788433.333212577</v>
      </c>
      <c r="F42" s="63">
        <v>29520996.667155474</v>
      </c>
      <c r="G42" s="63">
        <v>710642.60144824605</v>
      </c>
      <c r="H42" s="19">
        <f t="shared" ref="H42:H44" si="18">F42+G42</f>
        <v>30231639.26860372</v>
      </c>
      <c r="I42" s="37">
        <f t="shared" ref="I42:I44" si="19">E42-F42</f>
        <v>27267436.666057102</v>
      </c>
      <c r="K42" s="26">
        <f t="shared" ref="K42:K44" si="20">S41</f>
        <v>49109517.903147198</v>
      </c>
      <c r="L42" s="25">
        <v>0</v>
      </c>
      <c r="M42" s="25">
        <f t="shared" si="4"/>
        <v>5.0000000000000001E-3</v>
      </c>
      <c r="N42" s="19">
        <f t="shared" ref="N42:N44" si="21">L42*$K$16</f>
        <v>0</v>
      </c>
      <c r="O42" s="19">
        <f t="shared" ref="O42:O44" si="22">(K42-N42)*(F42/E42)</f>
        <v>25529176.088337883</v>
      </c>
      <c r="P42" s="19">
        <f t="shared" ref="P42:P44" si="23">(K42-N42-O42)*M42</f>
        <v>117901.70907404658</v>
      </c>
      <c r="Q42" s="19">
        <f t="shared" ref="Q42:Q44" si="24">(G42/E42)*(K42-N42)</f>
        <v>614549.71567512781</v>
      </c>
      <c r="R42" s="19">
        <f t="shared" ref="R42:R44" si="25">N42*(1-$M$10)</f>
        <v>0</v>
      </c>
      <c r="S42" s="37">
        <f t="shared" ref="S42:S44" si="26">K42-O42-P42-N42</f>
        <v>23462440.105735268</v>
      </c>
    </row>
    <row r="43" spans="1:20">
      <c r="B43" s="35">
        <f t="shared" si="13"/>
        <v>28</v>
      </c>
      <c r="C43" s="36">
        <f t="shared" si="16"/>
        <v>42855</v>
      </c>
      <c r="D43" s="32"/>
      <c r="E43" s="26">
        <f t="shared" si="17"/>
        <v>27267436.666057102</v>
      </c>
      <c r="F43" s="63">
        <v>19290679.528590262</v>
      </c>
      <c r="G43" s="63">
        <v>340164.35241751652</v>
      </c>
      <c r="H43" s="19">
        <f t="shared" si="18"/>
        <v>19630843.881007779</v>
      </c>
      <c r="I43" s="37">
        <f t="shared" si="19"/>
        <v>7976757.1374668404</v>
      </c>
      <c r="K43" s="26">
        <f t="shared" si="20"/>
        <v>23462440.105735268</v>
      </c>
      <c r="L43" s="25">
        <v>0</v>
      </c>
      <c r="M43" s="25">
        <f t="shared" si="4"/>
        <v>5.0000000000000001E-3</v>
      </c>
      <c r="N43" s="19">
        <f t="shared" si="21"/>
        <v>0</v>
      </c>
      <c r="O43" s="19">
        <f t="shared" si="22"/>
        <v>16598788.458978744</v>
      </c>
      <c r="P43" s="19">
        <f t="shared" si="23"/>
        <v>34318.258233782624</v>
      </c>
      <c r="Q43" s="19">
        <f t="shared" si="24"/>
        <v>292696.59053200175</v>
      </c>
      <c r="R43" s="19">
        <f t="shared" si="25"/>
        <v>0</v>
      </c>
      <c r="S43" s="37">
        <f t="shared" si="26"/>
        <v>6829333.3885227414</v>
      </c>
    </row>
    <row r="44" spans="1:20">
      <c r="B44" s="35">
        <f t="shared" si="13"/>
        <v>29</v>
      </c>
      <c r="C44" s="36">
        <f t="shared" si="16"/>
        <v>42886</v>
      </c>
      <c r="D44" s="32"/>
      <c r="E44" s="26">
        <f t="shared" si="17"/>
        <v>7976757.1374668404</v>
      </c>
      <c r="F44" s="63">
        <v>7976757.1374668777</v>
      </c>
      <c r="G44" s="63">
        <v>99465.5420589844</v>
      </c>
      <c r="H44" s="19">
        <f t="shared" si="18"/>
        <v>8076222.6795258624</v>
      </c>
      <c r="I44" s="37">
        <f t="shared" si="19"/>
        <v>-3.7252902984619141E-8</v>
      </c>
      <c r="K44" s="26">
        <f t="shared" si="20"/>
        <v>6829333.3885227414</v>
      </c>
      <c r="L44" s="25">
        <v>0</v>
      </c>
      <c r="M44" s="25">
        <f t="shared" si="4"/>
        <v>5.0000000000000001E-3</v>
      </c>
      <c r="N44" s="19">
        <f t="shared" si="21"/>
        <v>0</v>
      </c>
      <c r="O44" s="19">
        <f t="shared" si="22"/>
        <v>6829333.388522773</v>
      </c>
      <c r="P44" s="19">
        <f t="shared" si="23"/>
        <v>-1.5832483768463136E-10</v>
      </c>
      <c r="Q44" s="19">
        <f t="shared" si="24"/>
        <v>85157.832397872597</v>
      </c>
      <c r="R44" s="19">
        <f t="shared" si="25"/>
        <v>0</v>
      </c>
      <c r="S44" s="37">
        <f t="shared" si="26"/>
        <v>-3.1506642699241637E-8</v>
      </c>
    </row>
    <row r="46" spans="1:20">
      <c r="N46" s="86"/>
    </row>
    <row r="47" spans="1:20">
      <c r="F47" s="86"/>
    </row>
    <row r="48" spans="1:20">
      <c r="N48" s="87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onds">
    <tabColor indexed="46"/>
  </sheetPr>
  <dimension ref="A2:AQ44"/>
  <sheetViews>
    <sheetView showGridLines="0" zoomScale="85" workbookViewId="0">
      <pane xSplit="4" ySplit="13" topLeftCell="E14" activePane="bottomRight" state="frozen"/>
      <selection pane="topRight" activeCell="E1" sqref="E1"/>
      <selection pane="bottomLeft" activeCell="A10" sqref="A10"/>
      <selection pane="bottomRight" activeCell="G16" sqref="G16"/>
    </sheetView>
  </sheetViews>
  <sheetFormatPr defaultRowHeight="12.75"/>
  <cols>
    <col min="1" max="1" width="10.7109375" style="4" customWidth="1"/>
    <col min="2" max="2" width="11.42578125" style="4" bestFit="1" customWidth="1"/>
    <col min="3" max="3" width="17.85546875" style="4" bestFit="1" customWidth="1"/>
    <col min="4" max="4" width="3.5703125" style="4" customWidth="1"/>
    <col min="5" max="5" width="17.7109375" style="4" customWidth="1"/>
    <col min="6" max="6" width="16.7109375" style="4" customWidth="1"/>
    <col min="7" max="7" width="16.42578125" style="4" customWidth="1"/>
    <col min="8" max="8" width="15.5703125" style="4" customWidth="1"/>
    <col min="9" max="10" width="16.42578125" style="4" customWidth="1"/>
    <col min="11" max="11" width="15.7109375" style="4" customWidth="1"/>
    <col min="12" max="12" width="16.140625" style="4" customWidth="1"/>
    <col min="13" max="13" width="19" style="4" customWidth="1"/>
    <col min="14" max="14" width="15.85546875" style="4" customWidth="1"/>
    <col min="15" max="15" width="15.28515625" style="4" customWidth="1"/>
    <col min="16" max="16" width="16.42578125" style="4" customWidth="1"/>
    <col min="17" max="18" width="15.5703125" style="4" customWidth="1"/>
    <col min="19" max="19" width="16.42578125" style="4" customWidth="1"/>
    <col min="20" max="20" width="3" style="4" customWidth="1"/>
    <col min="21" max="21" width="19.28515625" style="4" customWidth="1"/>
    <col min="22" max="22" width="15.28515625" style="4" customWidth="1"/>
    <col min="23" max="24" width="15.5703125" style="4" customWidth="1"/>
    <col min="25" max="25" width="16.42578125" style="4" customWidth="1"/>
    <col min="26" max="26" width="3" style="4" customWidth="1"/>
    <col min="27" max="27" width="15.140625" style="4" customWidth="1"/>
    <col min="28" max="28" width="12.42578125" style="4" bestFit="1" customWidth="1"/>
    <col min="29" max="29" width="3" style="4" customWidth="1"/>
    <col min="30" max="31" width="10.28515625" style="4" customWidth="1"/>
    <col min="32" max="32" width="3" style="4" customWidth="1"/>
    <col min="33" max="34" width="15.140625" style="4" customWidth="1"/>
    <col min="35" max="36" width="12.42578125" style="4" bestFit="1" customWidth="1"/>
    <col min="37" max="37" width="10.85546875" style="4" customWidth="1"/>
    <col min="38" max="38" width="11.85546875" style="4" customWidth="1"/>
    <col min="39" max="39" width="11.140625" style="4" customWidth="1"/>
    <col min="40" max="40" width="11.7109375" style="4" customWidth="1"/>
    <col min="41" max="41" width="12.28515625" style="4" customWidth="1"/>
    <col min="42" max="16384" width="9.140625" style="4"/>
  </cols>
  <sheetData>
    <row r="2" spans="1:41" s="3" customFormat="1" ht="12.75" customHeight="1">
      <c r="B2" s="80"/>
      <c r="E2" s="18" t="s">
        <v>36</v>
      </c>
      <c r="F2" s="18" t="s">
        <v>18</v>
      </c>
      <c r="G2" s="18" t="s">
        <v>21</v>
      </c>
      <c r="H2" s="18" t="s">
        <v>22</v>
      </c>
      <c r="I2" s="18" t="s">
        <v>52</v>
      </c>
      <c r="J2" s="18" t="s">
        <v>55</v>
      </c>
      <c r="K2" s="18" t="s">
        <v>54</v>
      </c>
      <c r="L2" s="18" t="s">
        <v>56</v>
      </c>
      <c r="M2" s="18" t="s">
        <v>57</v>
      </c>
      <c r="N2" s="18" t="s">
        <v>59</v>
      </c>
      <c r="P2" s="2"/>
      <c r="Q2" s="2"/>
      <c r="R2" s="2"/>
      <c r="S2" s="2"/>
      <c r="T2" s="1"/>
      <c r="U2" s="2"/>
      <c r="V2" s="2"/>
      <c r="W2" s="2"/>
      <c r="X2" s="2"/>
      <c r="Y2" s="2"/>
      <c r="Z2" s="1"/>
      <c r="AC2" s="1"/>
      <c r="AD2" s="1"/>
      <c r="AE2" s="1"/>
      <c r="AF2" s="1"/>
    </row>
    <row r="3" spans="1:41" s="3" customFormat="1" ht="12.75" customHeight="1">
      <c r="B3" s="81"/>
      <c r="E3" s="75">
        <v>5.7800000000000004E-2</v>
      </c>
      <c r="F3" s="42" t="s">
        <v>19</v>
      </c>
      <c r="G3" s="74">
        <v>7.0000000000000007E-2</v>
      </c>
      <c r="H3" s="71">
        <f>'Collateral Pool'!$G$10*'Bonds and Waterfalls'!I3</f>
        <v>845750009.04399991</v>
      </c>
      <c r="I3" s="76">
        <v>0.85</v>
      </c>
      <c r="J3" s="70">
        <f>SUM(H4:H5)/SUM(H3:H5)</f>
        <v>0.15</v>
      </c>
      <c r="K3" s="70">
        <f>1-I15/K15</f>
        <v>0</v>
      </c>
      <c r="L3" s="79">
        <f>K10</f>
        <v>0.98630449618686911</v>
      </c>
      <c r="M3" s="83">
        <f>(1+IRR(J15:J44))^12-1</f>
        <v>6.8564776281166084E-2</v>
      </c>
      <c r="N3" s="83">
        <f>K3</f>
        <v>0</v>
      </c>
      <c r="P3" s="2"/>
      <c r="Q3" s="2"/>
      <c r="R3" s="2"/>
      <c r="S3" s="2"/>
      <c r="T3" s="1"/>
      <c r="U3" s="2"/>
      <c r="V3" s="2"/>
      <c r="W3" s="2"/>
      <c r="X3" s="2"/>
      <c r="Y3" s="2"/>
      <c r="Z3" s="1"/>
      <c r="AC3" s="1"/>
      <c r="AD3" s="1"/>
      <c r="AE3" s="1"/>
      <c r="AF3" s="1"/>
    </row>
    <row r="4" spans="1:41" s="3" customFormat="1" ht="12.75" customHeight="1">
      <c r="B4" s="82"/>
      <c r="E4" s="75">
        <v>0.05</v>
      </c>
      <c r="F4" s="43" t="s">
        <v>20</v>
      </c>
      <c r="G4" s="74">
        <v>0.08</v>
      </c>
      <c r="H4" s="72">
        <f>'Collateral Pool'!$G$10*'Bonds and Waterfalls'!I4</f>
        <v>99500001.063999996</v>
      </c>
      <c r="I4" s="76">
        <v>0.1</v>
      </c>
      <c r="J4" s="70">
        <f>H5/SUM(H3:H5)</f>
        <v>0.05</v>
      </c>
      <c r="K4" s="70">
        <f>1-Q15/S15</f>
        <v>0</v>
      </c>
      <c r="L4" s="79">
        <f>S10</f>
        <v>2.0493869565694274</v>
      </c>
      <c r="M4" s="70">
        <f>(1+IRR(R15:R44))^12-1</f>
        <v>7.8704026017795359E-2</v>
      </c>
      <c r="N4" s="83">
        <f>K4</f>
        <v>0</v>
      </c>
      <c r="P4" s="2"/>
      <c r="Q4" s="2"/>
      <c r="R4" s="2"/>
      <c r="S4" s="2"/>
      <c r="T4" s="1"/>
      <c r="U4" s="2"/>
      <c r="V4" s="2"/>
      <c r="W4" s="2"/>
      <c r="X4" s="2"/>
      <c r="Y4" s="2"/>
      <c r="Z4" s="1"/>
      <c r="AC4" s="1"/>
      <c r="AD4" s="1"/>
      <c r="AE4" s="1"/>
      <c r="AF4" s="1"/>
    </row>
    <row r="5" spans="1:41" s="3" customFormat="1" ht="12.75" customHeight="1">
      <c r="F5" s="43" t="s">
        <v>53</v>
      </c>
      <c r="G5" s="44"/>
      <c r="H5" s="73">
        <f>'Collateral Pool'!$G$10*'Bonds and Waterfalls'!I5</f>
        <v>49750000.531999998</v>
      </c>
      <c r="I5" s="76">
        <v>0.05</v>
      </c>
      <c r="J5" s="70">
        <v>0</v>
      </c>
      <c r="K5" s="70">
        <f>1-W15/Y15</f>
        <v>-0.40748267355637791</v>
      </c>
      <c r="L5" s="79">
        <f>Y10</f>
        <v>0.91077284156997196</v>
      </c>
      <c r="M5" s="70">
        <f>(1+IRR(X15:X44))^12-1</f>
        <v>0.21002702704569343</v>
      </c>
      <c r="N5" s="89" t="b">
        <f>IF(SUM(X15:X44)&gt;0,TRUE,FALSE)</f>
        <v>1</v>
      </c>
      <c r="P5" s="2"/>
      <c r="Q5" s="2"/>
      <c r="R5" s="2"/>
      <c r="S5" s="2"/>
      <c r="T5" s="1"/>
      <c r="U5" s="2"/>
      <c r="V5" s="2"/>
      <c r="W5" s="2"/>
      <c r="X5" s="2"/>
      <c r="Y5" s="2"/>
      <c r="Z5" s="1"/>
      <c r="AC5" s="1"/>
      <c r="AD5" s="1"/>
      <c r="AE5" s="1"/>
      <c r="AF5" s="1"/>
    </row>
    <row r="6" spans="1:41" s="7" customFormat="1">
      <c r="A6" s="4"/>
      <c r="B6" s="95"/>
      <c r="C6" s="5"/>
      <c r="D6" s="4"/>
      <c r="H6" s="77">
        <f>SUM(H3:H5)</f>
        <v>995000010.63999987</v>
      </c>
      <c r="I6" s="78">
        <f>SUM(I3:I5)</f>
        <v>1</v>
      </c>
      <c r="J6" s="78"/>
      <c r="K6" s="5"/>
      <c r="L6" s="4"/>
      <c r="M6" s="5"/>
      <c r="N6" s="5"/>
      <c r="O6" s="5"/>
      <c r="P6" s="5"/>
      <c r="Q6" s="5"/>
      <c r="R6" s="5"/>
      <c r="S6" s="5"/>
      <c r="T6" s="4"/>
      <c r="U6" s="5"/>
      <c r="V6" s="5"/>
      <c r="W6" s="5"/>
      <c r="X6" s="5"/>
      <c r="Y6" s="5"/>
      <c r="Z6" s="4"/>
      <c r="AC6" s="4"/>
      <c r="AD6" s="4"/>
      <c r="AE6" s="4"/>
      <c r="AF6" s="4"/>
    </row>
    <row r="7" spans="1:41" s="7" customFormat="1" ht="18" customHeight="1">
      <c r="A7" s="4"/>
      <c r="E7" s="8" t="s">
        <v>24</v>
      </c>
      <c r="F7" s="9"/>
      <c r="G7" s="9"/>
      <c r="H7" s="9"/>
      <c r="I7" s="9"/>
      <c r="J7" s="9"/>
      <c r="K7" s="10"/>
      <c r="L7" s="4"/>
      <c r="M7" s="8" t="s">
        <v>25</v>
      </c>
      <c r="N7" s="9"/>
      <c r="O7" s="9"/>
      <c r="P7" s="9"/>
      <c r="Q7" s="9"/>
      <c r="R7" s="9"/>
      <c r="S7" s="10"/>
      <c r="T7" s="4"/>
      <c r="U7" s="8" t="s">
        <v>45</v>
      </c>
      <c r="V7" s="9"/>
      <c r="W7" s="9"/>
      <c r="X7" s="9"/>
      <c r="Y7" s="10"/>
      <c r="Z7" s="4"/>
      <c r="AA7" s="8" t="s">
        <v>35</v>
      </c>
      <c r="AB7" s="10"/>
      <c r="AC7" s="4"/>
      <c r="AD7" s="8" t="s">
        <v>60</v>
      </c>
      <c r="AE7" s="10"/>
      <c r="AF7" s="4"/>
      <c r="AG7" s="8" t="s">
        <v>34</v>
      </c>
      <c r="AH7" s="9"/>
      <c r="AI7" s="9"/>
      <c r="AJ7" s="9"/>
      <c r="AK7" s="9"/>
      <c r="AL7" s="9"/>
      <c r="AM7" s="9"/>
      <c r="AN7" s="9"/>
      <c r="AO7" s="10"/>
    </row>
    <row r="8" spans="1:41" s="17" customFormat="1">
      <c r="A8" s="11"/>
      <c r="E8" s="14"/>
      <c r="F8" s="15"/>
      <c r="G8" s="15"/>
      <c r="H8" s="13"/>
      <c r="I8" s="13"/>
      <c r="J8" s="13"/>
      <c r="K8" s="16"/>
      <c r="L8" s="11"/>
      <c r="M8" s="14"/>
      <c r="N8" s="15"/>
      <c r="O8" s="15"/>
      <c r="P8" s="13"/>
      <c r="Q8" s="13"/>
      <c r="R8" s="13"/>
      <c r="S8" s="45"/>
      <c r="T8" s="11"/>
      <c r="U8" s="14"/>
      <c r="V8" s="15"/>
      <c r="W8" s="13"/>
      <c r="X8" s="13"/>
      <c r="Y8" s="45"/>
      <c r="Z8" s="11"/>
      <c r="AA8" s="14"/>
      <c r="AB8" s="47"/>
      <c r="AC8" s="11"/>
      <c r="AD8" s="11"/>
      <c r="AE8" s="11"/>
      <c r="AF8" s="11"/>
      <c r="AG8" s="14"/>
      <c r="AH8" s="13"/>
      <c r="AO8" s="47"/>
    </row>
    <row r="9" spans="1:41" s="7" customFormat="1">
      <c r="A9" s="4"/>
      <c r="E9" s="26"/>
      <c r="H9" s="19"/>
      <c r="I9" s="19"/>
      <c r="J9" s="19"/>
      <c r="K9" s="18" t="s">
        <v>50</v>
      </c>
      <c r="L9" s="4"/>
      <c r="M9" s="26"/>
      <c r="N9" s="4"/>
      <c r="O9" s="4"/>
      <c r="P9" s="19"/>
      <c r="Q9" s="19"/>
      <c r="R9" s="19"/>
      <c r="S9" s="18" t="s">
        <v>50</v>
      </c>
      <c r="T9" s="4"/>
      <c r="U9" s="26"/>
      <c r="V9" s="4"/>
      <c r="W9" s="19"/>
      <c r="X9" s="19"/>
      <c r="Y9" s="18" t="s">
        <v>50</v>
      </c>
      <c r="Z9" s="4"/>
      <c r="AA9" s="60"/>
      <c r="AB9" s="48"/>
      <c r="AC9" s="4"/>
      <c r="AD9" s="4"/>
      <c r="AE9" s="4"/>
      <c r="AF9" s="4"/>
      <c r="AG9" s="26"/>
      <c r="AH9" s="19"/>
      <c r="AO9" s="48"/>
    </row>
    <row r="10" spans="1:41" s="24" customFormat="1">
      <c r="A10" s="21"/>
      <c r="E10" s="26"/>
      <c r="F10" s="4"/>
      <c r="G10" s="4"/>
      <c r="H10" s="19"/>
      <c r="I10" s="19"/>
      <c r="J10" s="19"/>
      <c r="K10" s="62">
        <f>SUMPRODUCT($B$16:$B$41,I16:I41)/K15/12</f>
        <v>0.98630449618686911</v>
      </c>
      <c r="L10" s="21"/>
      <c r="M10" s="26"/>
      <c r="N10" s="4"/>
      <c r="O10" s="4"/>
      <c r="P10" s="19"/>
      <c r="Q10" s="19"/>
      <c r="R10" s="19"/>
      <c r="S10" s="62">
        <f>SUMPRODUCT($B$16:$B$41,Q16:Q41)/S15/12</f>
        <v>2.0493869565694274</v>
      </c>
      <c r="T10" s="21"/>
      <c r="U10" s="26"/>
      <c r="V10" s="4"/>
      <c r="W10" s="19"/>
      <c r="X10" s="19"/>
      <c r="Y10" s="62">
        <f>SUMPRODUCT($B$16:$B$41,W16:W41)/Y15/12</f>
        <v>0.91077284156997196</v>
      </c>
      <c r="Z10" s="21"/>
      <c r="AA10" s="61"/>
      <c r="AB10" s="49"/>
      <c r="AC10" s="21"/>
      <c r="AD10" s="21"/>
      <c r="AE10" s="21"/>
      <c r="AF10" s="21"/>
      <c r="AG10" s="26"/>
      <c r="AH10" s="19"/>
      <c r="AO10" s="49"/>
    </row>
    <row r="11" spans="1:41" s="7" customFormat="1" ht="12.75" customHeight="1">
      <c r="A11" s="4"/>
      <c r="B11" s="5"/>
      <c r="C11" s="5"/>
      <c r="D11" s="4"/>
      <c r="E11" s="26"/>
      <c r="H11" s="19"/>
      <c r="I11" s="19"/>
      <c r="J11" s="19"/>
      <c r="K11" s="20"/>
      <c r="L11" s="4"/>
      <c r="M11" s="26"/>
      <c r="P11" s="19"/>
      <c r="Q11" s="19"/>
      <c r="R11" s="19"/>
      <c r="S11" s="37"/>
      <c r="T11" s="4"/>
      <c r="U11" s="26"/>
      <c r="W11" s="19"/>
      <c r="X11" s="19"/>
      <c r="Y11" s="37"/>
      <c r="Z11" s="4"/>
      <c r="AA11" s="26"/>
      <c r="AB11" s="48"/>
      <c r="AC11" s="4"/>
      <c r="AD11" s="4"/>
      <c r="AE11" s="4"/>
      <c r="AF11" s="4"/>
      <c r="AG11" s="26"/>
      <c r="AH11" s="19"/>
      <c r="AO11" s="48"/>
    </row>
    <row r="12" spans="1:41">
      <c r="B12" s="6"/>
      <c r="C12" s="6"/>
      <c r="E12" s="26"/>
      <c r="H12" s="19"/>
      <c r="I12" s="19"/>
      <c r="J12" s="19"/>
      <c r="K12" s="20"/>
      <c r="M12" s="26"/>
      <c r="P12" s="19"/>
      <c r="Q12" s="19"/>
      <c r="R12" s="19"/>
      <c r="S12" s="37"/>
      <c r="U12" s="26"/>
      <c r="W12" s="19"/>
      <c r="X12" s="19"/>
      <c r="Y12" s="37"/>
      <c r="AA12" s="26"/>
      <c r="AB12" s="50"/>
      <c r="AG12" s="55" t="s">
        <v>44</v>
      </c>
      <c r="AH12" s="57"/>
      <c r="AI12" s="58" t="s">
        <v>48</v>
      </c>
      <c r="AJ12" s="56"/>
      <c r="AK12" s="56"/>
      <c r="AL12" s="57"/>
      <c r="AM12" s="59" t="s">
        <v>49</v>
      </c>
      <c r="AN12" s="56"/>
      <c r="AO12" s="57"/>
    </row>
    <row r="13" spans="1:41">
      <c r="B13" s="6"/>
      <c r="C13" s="6"/>
      <c r="E13" s="26"/>
      <c r="H13" s="19"/>
      <c r="I13" s="19"/>
      <c r="J13" s="19"/>
      <c r="K13" s="20"/>
      <c r="M13" s="26"/>
      <c r="P13" s="19"/>
      <c r="Q13" s="19"/>
      <c r="R13" s="19"/>
      <c r="S13" s="37"/>
      <c r="U13" s="26"/>
      <c r="W13" s="19"/>
      <c r="X13" s="19"/>
      <c r="Y13" s="37"/>
      <c r="AA13" s="26"/>
      <c r="AB13" s="50"/>
      <c r="AG13" s="26"/>
      <c r="AH13" s="19"/>
      <c r="AO13" s="50"/>
    </row>
    <row r="14" spans="1:41" s="27" customFormat="1" ht="51">
      <c r="B14" s="28" t="s">
        <v>2</v>
      </c>
      <c r="C14" s="29" t="s">
        <v>3</v>
      </c>
      <c r="E14" s="28" t="s">
        <v>27</v>
      </c>
      <c r="F14" s="30" t="s">
        <v>28</v>
      </c>
      <c r="G14" s="30" t="s">
        <v>29</v>
      </c>
      <c r="H14" s="30" t="s">
        <v>30</v>
      </c>
      <c r="I14" s="30" t="s">
        <v>31</v>
      </c>
      <c r="J14" s="30" t="s">
        <v>58</v>
      </c>
      <c r="K14" s="29" t="s">
        <v>32</v>
      </c>
      <c r="M14" s="28" t="s">
        <v>27</v>
      </c>
      <c r="N14" s="30" t="s">
        <v>28</v>
      </c>
      <c r="O14" s="30" t="s">
        <v>29</v>
      </c>
      <c r="P14" s="30" t="s">
        <v>30</v>
      </c>
      <c r="Q14" s="30" t="s">
        <v>31</v>
      </c>
      <c r="R14" s="30" t="s">
        <v>58</v>
      </c>
      <c r="S14" s="29" t="s">
        <v>32</v>
      </c>
      <c r="U14" s="28" t="s">
        <v>27</v>
      </c>
      <c r="V14" s="30" t="s">
        <v>29</v>
      </c>
      <c r="W14" s="30" t="s">
        <v>31</v>
      </c>
      <c r="X14" s="30" t="s">
        <v>58</v>
      </c>
      <c r="Y14" s="29" t="s">
        <v>32</v>
      </c>
      <c r="AA14" s="28" t="s">
        <v>37</v>
      </c>
      <c r="AB14" s="29" t="s">
        <v>38</v>
      </c>
      <c r="AD14" s="28" t="s">
        <v>61</v>
      </c>
      <c r="AE14" s="29" t="s">
        <v>62</v>
      </c>
      <c r="AG14" s="28" t="s">
        <v>5</v>
      </c>
      <c r="AH14" s="30" t="s">
        <v>43</v>
      </c>
      <c r="AI14" s="30" t="s">
        <v>39</v>
      </c>
      <c r="AJ14" s="30" t="s">
        <v>33</v>
      </c>
      <c r="AK14" s="30" t="s">
        <v>40</v>
      </c>
      <c r="AL14" s="30" t="s">
        <v>46</v>
      </c>
      <c r="AM14" s="30" t="s">
        <v>41</v>
      </c>
      <c r="AN14" s="30" t="s">
        <v>42</v>
      </c>
      <c r="AO14" s="29" t="s">
        <v>47</v>
      </c>
    </row>
    <row r="15" spans="1:41" s="7" customFormat="1" ht="13.5" thickBot="1">
      <c r="A15" s="4"/>
      <c r="B15" s="31" t="s">
        <v>4</v>
      </c>
      <c r="C15" s="39">
        <f>'Collateral Pool'!H10</f>
        <v>42004</v>
      </c>
      <c r="D15" s="32"/>
      <c r="E15" s="33"/>
      <c r="F15" s="34"/>
      <c r="G15" s="34"/>
      <c r="H15" s="34"/>
      <c r="I15" s="34">
        <f>SUM(I16:I44)</f>
        <v>845750009.04400003</v>
      </c>
      <c r="J15" s="34">
        <f>-K15</f>
        <v>-845750009.04399991</v>
      </c>
      <c r="K15" s="46">
        <f>H3</f>
        <v>845750009.04399991</v>
      </c>
      <c r="L15" s="19"/>
      <c r="M15" s="33"/>
      <c r="N15" s="34"/>
      <c r="O15" s="34"/>
      <c r="P15" s="40"/>
      <c r="Q15" s="34">
        <f>SUM(Q16:Q44)</f>
        <v>99500001.063999981</v>
      </c>
      <c r="R15" s="34">
        <f>-S15</f>
        <v>-99500001.063999996</v>
      </c>
      <c r="S15" s="41">
        <f>H4</f>
        <v>99500001.063999996</v>
      </c>
      <c r="T15" s="19"/>
      <c r="U15" s="33"/>
      <c r="V15" s="34"/>
      <c r="W15" s="34">
        <f>SUM(W16:W44)</f>
        <v>70022263.758210585</v>
      </c>
      <c r="X15" s="34">
        <f>-Y15</f>
        <v>-49750000.531999998</v>
      </c>
      <c r="Y15" s="41">
        <f>H5</f>
        <v>49750000.531999998</v>
      </c>
      <c r="Z15" s="19"/>
      <c r="AA15" s="33"/>
      <c r="AB15" s="51"/>
      <c r="AC15" s="19"/>
      <c r="AD15" s="19"/>
      <c r="AE15" s="19"/>
      <c r="AF15" s="19"/>
      <c r="AG15" s="33"/>
      <c r="AH15" s="34"/>
      <c r="AI15" s="34"/>
      <c r="AJ15" s="34"/>
      <c r="AK15" s="40"/>
      <c r="AL15" s="40"/>
      <c r="AM15" s="40"/>
      <c r="AN15" s="40"/>
      <c r="AO15" s="41"/>
    </row>
    <row r="16" spans="1:41" s="7" customFormat="1">
      <c r="A16" s="4"/>
      <c r="B16" s="35">
        <v>1</v>
      </c>
      <c r="C16" s="36">
        <f t="shared" ref="C16:C41" si="0">EOMONTH($C$15,(B16)*1)</f>
        <v>42035</v>
      </c>
      <c r="D16" s="32"/>
      <c r="E16" s="26">
        <f>K15</f>
        <v>845750009.04399991</v>
      </c>
      <c r="F16" s="19">
        <f t="shared" ref="F16:F41" si="1">E16*$G$3/12</f>
        <v>4933541.7194233332</v>
      </c>
      <c r="G16" s="19">
        <f>AJ16*(1-$E$4)</f>
        <v>4686864.6334521659</v>
      </c>
      <c r="H16" s="19">
        <f>F16-G16</f>
        <v>246677.08597116731</v>
      </c>
      <c r="I16" s="19">
        <f t="shared" ref="I16:I41" si="2">AM16</f>
        <v>37568068.595150374</v>
      </c>
      <c r="J16" s="19">
        <f>G16+I16</f>
        <v>42254933.228602543</v>
      </c>
      <c r="K16" s="52">
        <f>E16-I16</f>
        <v>808181940.44884956</v>
      </c>
      <c r="L16" s="4"/>
      <c r="M16" s="26">
        <f>S15</f>
        <v>99500001.063999996</v>
      </c>
      <c r="N16" s="19">
        <f t="shared" ref="N16:N41" si="3">M16*$G$4/12</f>
        <v>663333.34042666666</v>
      </c>
      <c r="O16" s="53">
        <f>AK16*(1-$E$4)</f>
        <v>630166.67340533331</v>
      </c>
      <c r="P16" s="19">
        <f>N16-O16</f>
        <v>33166.667021333356</v>
      </c>
      <c r="Q16" s="19">
        <f t="shared" ref="Q16:Q41" si="4">AN16</f>
        <v>0</v>
      </c>
      <c r="R16" s="19">
        <f>O16+Q16</f>
        <v>630166.67340533331</v>
      </c>
      <c r="S16" s="37">
        <f>M16-Q16</f>
        <v>99500001.063999996</v>
      </c>
      <c r="T16" s="4"/>
      <c r="U16" s="26">
        <f>Y15</f>
        <v>49750000.531999998</v>
      </c>
      <c r="V16" s="54">
        <f>AL16*(1-$E$4)</f>
        <v>196927.08543916667</v>
      </c>
      <c r="W16" s="19">
        <f>AO16</f>
        <v>0</v>
      </c>
      <c r="X16" s="19">
        <f>V16+W16</f>
        <v>196927.08543916667</v>
      </c>
      <c r="Y16" s="37">
        <f t="shared" ref="Y16:Y40" si="5">U16-W16</f>
        <v>49750000.531999998</v>
      </c>
      <c r="Z16" s="4"/>
      <c r="AA16" s="26">
        <f>'Collateral Pool'!K16*'Bonds and Waterfalls'!$E$3/12</f>
        <v>4792583.3845826657</v>
      </c>
      <c r="AB16" s="52">
        <f>AI16</f>
        <v>4792583.3845826657</v>
      </c>
      <c r="AC16" s="4"/>
      <c r="AD16" s="26">
        <f>U16*5%/12</f>
        <v>207291.66888333333</v>
      </c>
      <c r="AE16" s="88">
        <f t="shared" ref="AE16:AE44" si="6">MAX(MIN($AH16-SUM(AI16:AL16)),0)</f>
        <v>1840226.6743238643</v>
      </c>
      <c r="AF16" s="4"/>
      <c r="AG16" s="26">
        <f>'Collateral Pool'!O16+'Collateral Pool'!P16+'Collateral Pool'!R16</f>
        <v>35727841.92082651</v>
      </c>
      <c r="AH16" s="19">
        <f>'Collateral Pool'!Q16</f>
        <v>12436976.787639864</v>
      </c>
      <c r="AI16" s="54">
        <f t="shared" ref="AI16:AI41" si="7">MIN(AH16,AA16)</f>
        <v>4792583.3845826657</v>
      </c>
      <c r="AJ16" s="54">
        <f>MIN($AH16+$AG$16-SUM(AI16),F16)</f>
        <v>4933541.7194233332</v>
      </c>
      <c r="AK16" s="19">
        <f>MIN($AH16+$AG$16-SUM(AI16:AJ16),N16)</f>
        <v>663333.34042666666</v>
      </c>
      <c r="AL16" s="19">
        <f t="shared" ref="AL16:AL44" si="8">MAX(MIN($AH16-SUM(AI16:AK16),AD16),0)</f>
        <v>207291.66888333333</v>
      </c>
      <c r="AM16" s="19">
        <f t="shared" ref="AM16:AM44" si="9">MIN($AG16+AE16,E16)</f>
        <v>37568068.595150374</v>
      </c>
      <c r="AN16" s="19">
        <f t="shared" ref="AN16:AN44" si="10">MAX(MIN(AE16+$AG16-SUM(AM16),M16),0)</f>
        <v>0</v>
      </c>
      <c r="AO16" s="37">
        <f>MAX(MIN($AG16-SUM(AM16:AN16)),0)</f>
        <v>0</v>
      </c>
    </row>
    <row r="17" spans="1:43" s="7" customFormat="1">
      <c r="A17" s="4"/>
      <c r="B17" s="35">
        <f>B16+1</f>
        <v>2</v>
      </c>
      <c r="C17" s="36">
        <f t="shared" si="0"/>
        <v>42063</v>
      </c>
      <c r="D17" s="32"/>
      <c r="E17" s="26">
        <f t="shared" ref="E17:E41" si="11">K16</f>
        <v>808181940.44884956</v>
      </c>
      <c r="F17" s="19">
        <f t="shared" si="1"/>
        <v>4714394.6526182899</v>
      </c>
      <c r="G17" s="19">
        <f t="shared" ref="G17:G44" si="12">AJ17*(1-$E$4)</f>
        <v>4478674.9199873749</v>
      </c>
      <c r="H17" s="19">
        <f t="shared" ref="H17:H41" si="13">F17-G17</f>
        <v>235719.73263091501</v>
      </c>
      <c r="I17" s="19">
        <f t="shared" si="2"/>
        <v>37533912.46357397</v>
      </c>
      <c r="J17" s="19">
        <f t="shared" ref="J17:J41" si="14">G17+I17</f>
        <v>42012587.383561343</v>
      </c>
      <c r="K17" s="52">
        <f t="shared" ref="K17:K41" si="15">E17-I17</f>
        <v>770648027.98527563</v>
      </c>
      <c r="L17" s="38"/>
      <c r="M17" s="26">
        <f t="shared" ref="M17:M41" si="16">S16</f>
        <v>99500001.063999996</v>
      </c>
      <c r="N17" s="19">
        <f t="shared" si="3"/>
        <v>663333.34042666666</v>
      </c>
      <c r="O17" s="53">
        <f t="shared" ref="O17:O44" si="17">AK17*(1-$E$4)</f>
        <v>630166.67340533331</v>
      </c>
      <c r="P17" s="19">
        <f t="shared" ref="P17:P41" si="18">N17-O17</f>
        <v>33166.667021333356</v>
      </c>
      <c r="Q17" s="19">
        <f t="shared" si="4"/>
        <v>0</v>
      </c>
      <c r="R17" s="19">
        <f t="shared" ref="R17:R41" si="19">O17+Q17</f>
        <v>630166.67340533331</v>
      </c>
      <c r="S17" s="37">
        <f t="shared" ref="S17:S41" si="20">M17-Q17</f>
        <v>99500001.063999996</v>
      </c>
      <c r="T17" s="38"/>
      <c r="U17" s="26">
        <f t="shared" ref="U17:U41" si="21">Y16</f>
        <v>49750000.531999998</v>
      </c>
      <c r="V17" s="54">
        <f t="shared" ref="V17:V44" si="22">AL17*(1-$E$4)</f>
        <v>196927.08543916667</v>
      </c>
      <c r="W17" s="19">
        <f t="shared" ref="W17:W41" si="23">AO17</f>
        <v>0</v>
      </c>
      <c r="X17" s="19">
        <f t="shared" ref="X17:X41" si="24">V17+W17</f>
        <v>196927.08543916667</v>
      </c>
      <c r="Y17" s="37">
        <f t="shared" si="5"/>
        <v>49750000.531999998</v>
      </c>
      <c r="Z17" s="38"/>
      <c r="AA17" s="26">
        <f>'Collateral Pool'!K17*'Bonds and Waterfalls'!$E$3/12</f>
        <v>4618097.9876383943</v>
      </c>
      <c r="AB17" s="52">
        <f t="shared" ref="AB17:AB41" si="25">AI17</f>
        <v>4618097.9876383943</v>
      </c>
      <c r="AC17" s="38"/>
      <c r="AD17" s="26">
        <f t="shared" ref="AD17:AD41" si="26">U17*5%/12</f>
        <v>207291.66888333333</v>
      </c>
      <c r="AE17" s="88">
        <f t="shared" si="6"/>
        <v>1782002.2935501803</v>
      </c>
      <c r="AF17" s="38"/>
      <c r="AG17" s="26">
        <f>'Collateral Pool'!O17+'Collateral Pool'!P17+'Collateral Pool'!R17</f>
        <v>35751910.170023791</v>
      </c>
      <c r="AH17" s="19">
        <f>'Collateral Pool'!Q17</f>
        <v>11985119.943116864</v>
      </c>
      <c r="AI17" s="54">
        <f t="shared" si="7"/>
        <v>4618097.9876383943</v>
      </c>
      <c r="AJ17" s="54">
        <f t="shared" ref="AJ17:AJ44" si="27">MIN($AH17-SUM(AI17),F17)</f>
        <v>4714394.6526182899</v>
      </c>
      <c r="AK17" s="19">
        <f t="shared" ref="AK17:AK44" si="28">MIN($AH17-SUM(AI17:AJ17),N17)</f>
        <v>663333.34042666666</v>
      </c>
      <c r="AL17" s="19">
        <f t="shared" si="8"/>
        <v>207291.66888333333</v>
      </c>
      <c r="AM17" s="19">
        <f t="shared" si="9"/>
        <v>37533912.46357397</v>
      </c>
      <c r="AN17" s="19">
        <f t="shared" si="10"/>
        <v>0</v>
      </c>
      <c r="AO17" s="37">
        <f t="shared" ref="AO17:AO40" si="29">MAX(MIN($AG17-SUM(AM17:AN17)),0)</f>
        <v>0</v>
      </c>
    </row>
    <row r="18" spans="1:43" s="7" customFormat="1">
      <c r="A18" s="4"/>
      <c r="B18" s="35">
        <f>B17+1</f>
        <v>3</v>
      </c>
      <c r="C18" s="36">
        <f t="shared" si="0"/>
        <v>42094</v>
      </c>
      <c r="D18" s="32"/>
      <c r="E18" s="26">
        <f t="shared" si="11"/>
        <v>770648027.98527563</v>
      </c>
      <c r="F18" s="19">
        <f t="shared" si="1"/>
        <v>4495446.8299141089</v>
      </c>
      <c r="G18" s="19">
        <f t="shared" si="12"/>
        <v>4270674.4884184031</v>
      </c>
      <c r="H18" s="19">
        <f t="shared" si="13"/>
        <v>224772.34149570577</v>
      </c>
      <c r="I18" s="19">
        <f t="shared" si="2"/>
        <v>37499785.392087929</v>
      </c>
      <c r="J18" s="19">
        <f t="shared" si="14"/>
        <v>41770459.880506329</v>
      </c>
      <c r="K18" s="52">
        <f t="shared" si="15"/>
        <v>733148242.59318769</v>
      </c>
      <c r="L18" s="38"/>
      <c r="M18" s="26">
        <f t="shared" si="16"/>
        <v>99500001.063999996</v>
      </c>
      <c r="N18" s="19">
        <f t="shared" si="3"/>
        <v>663333.34042666666</v>
      </c>
      <c r="O18" s="53">
        <f t="shared" si="17"/>
        <v>630166.67340533331</v>
      </c>
      <c r="P18" s="19">
        <f t="shared" si="18"/>
        <v>33166.667021333356</v>
      </c>
      <c r="Q18" s="19">
        <f t="shared" si="4"/>
        <v>0</v>
      </c>
      <c r="R18" s="19">
        <f t="shared" si="19"/>
        <v>630166.67340533331</v>
      </c>
      <c r="S18" s="37">
        <f t="shared" si="20"/>
        <v>99500001.063999996</v>
      </c>
      <c r="T18" s="38"/>
      <c r="U18" s="26">
        <f t="shared" si="21"/>
        <v>49750000.531999998</v>
      </c>
      <c r="V18" s="54">
        <f t="shared" si="22"/>
        <v>196927.08543916667</v>
      </c>
      <c r="W18" s="19">
        <f t="shared" si="23"/>
        <v>0</v>
      </c>
      <c r="X18" s="19">
        <f t="shared" si="24"/>
        <v>196927.08543916667</v>
      </c>
      <c r="Y18" s="37">
        <f t="shared" si="5"/>
        <v>49750000.531999998</v>
      </c>
      <c r="Z18" s="38"/>
      <c r="AA18" s="26">
        <f>'Collateral Pool'!K18*'Bonds and Waterfalls'!$E$3/12</f>
        <v>4443496.6619604882</v>
      </c>
      <c r="AB18" s="52">
        <f t="shared" si="25"/>
        <v>4443496.6619604882</v>
      </c>
      <c r="AC18" s="38"/>
      <c r="AD18" s="26">
        <f t="shared" si="26"/>
        <v>207291.66888333333</v>
      </c>
      <c r="AE18" s="88">
        <f t="shared" si="6"/>
        <v>1723301.927997129</v>
      </c>
      <c r="AF18" s="38"/>
      <c r="AG18" s="26">
        <f>'Collateral Pool'!O18+'Collateral Pool'!P18+'Collateral Pool'!R18</f>
        <v>35776483.464090802</v>
      </c>
      <c r="AH18" s="19">
        <f>'Collateral Pool'!Q18</f>
        <v>11532870.429181727</v>
      </c>
      <c r="AI18" s="54">
        <f t="shared" si="7"/>
        <v>4443496.6619604882</v>
      </c>
      <c r="AJ18" s="54">
        <f t="shared" si="27"/>
        <v>4495446.8299141089</v>
      </c>
      <c r="AK18" s="19">
        <f t="shared" si="28"/>
        <v>663333.34042666666</v>
      </c>
      <c r="AL18" s="19">
        <f t="shared" si="8"/>
        <v>207291.66888333333</v>
      </c>
      <c r="AM18" s="19">
        <f t="shared" si="9"/>
        <v>37499785.392087929</v>
      </c>
      <c r="AN18" s="19">
        <f t="shared" si="10"/>
        <v>0</v>
      </c>
      <c r="AO18" s="37">
        <f t="shared" si="29"/>
        <v>0</v>
      </c>
      <c r="AQ18" s="7">
        <f t="shared" ref="AQ18:AQ44" si="30">AJ18/AG18</f>
        <v>0.12565368070414834</v>
      </c>
    </row>
    <row r="19" spans="1:43" s="7" customFormat="1">
      <c r="A19" s="4"/>
      <c r="B19" s="35">
        <f>B18+1</f>
        <v>4</v>
      </c>
      <c r="C19" s="36">
        <f t="shared" si="0"/>
        <v>42124</v>
      </c>
      <c r="D19" s="32"/>
      <c r="E19" s="26">
        <f t="shared" si="11"/>
        <v>733148242.59318769</v>
      </c>
      <c r="F19" s="19">
        <f t="shared" si="1"/>
        <v>4276698.0817935951</v>
      </c>
      <c r="G19" s="19">
        <f t="shared" si="12"/>
        <v>4062863.1777039152</v>
      </c>
      <c r="H19" s="19">
        <f t="shared" si="13"/>
        <v>213834.90408967994</v>
      </c>
      <c r="I19" s="19">
        <f t="shared" si="2"/>
        <v>37465604.4308419</v>
      </c>
      <c r="J19" s="19">
        <f t="shared" si="14"/>
        <v>41528467.608545817</v>
      </c>
      <c r="K19" s="52">
        <f t="shared" si="15"/>
        <v>695682638.16234577</v>
      </c>
      <c r="L19" s="38"/>
      <c r="M19" s="26">
        <f t="shared" si="16"/>
        <v>99500001.063999996</v>
      </c>
      <c r="N19" s="19">
        <f t="shared" si="3"/>
        <v>663333.34042666666</v>
      </c>
      <c r="O19" s="53">
        <f t="shared" si="17"/>
        <v>630166.67340533331</v>
      </c>
      <c r="P19" s="19">
        <f t="shared" si="18"/>
        <v>33166.667021333356</v>
      </c>
      <c r="Q19" s="19">
        <f t="shared" si="4"/>
        <v>0</v>
      </c>
      <c r="R19" s="19">
        <f t="shared" si="19"/>
        <v>630166.67340533331</v>
      </c>
      <c r="S19" s="37">
        <f t="shared" si="20"/>
        <v>99500001.063999996</v>
      </c>
      <c r="T19" s="38"/>
      <c r="U19" s="26">
        <f t="shared" si="21"/>
        <v>49750000.531999998</v>
      </c>
      <c r="V19" s="54">
        <f t="shared" si="22"/>
        <v>196927.08543916667</v>
      </c>
      <c r="W19" s="19">
        <f t="shared" si="23"/>
        <v>0</v>
      </c>
      <c r="X19" s="19">
        <f t="shared" si="24"/>
        <v>196927.08543916667</v>
      </c>
      <c r="Y19" s="37">
        <f t="shared" si="5"/>
        <v>49750000.531999998</v>
      </c>
      <c r="Z19" s="38"/>
      <c r="AA19" s="26">
        <f>'Collateral Pool'!K19*'Bonds and Waterfalls'!$E$3/12</f>
        <v>4268776.9749161592</v>
      </c>
      <c r="AB19" s="52">
        <f t="shared" si="25"/>
        <v>4268776.9749161592</v>
      </c>
      <c r="AC19" s="38"/>
      <c r="AD19" s="26">
        <f t="shared" si="26"/>
        <v>207291.66888333333</v>
      </c>
      <c r="AE19" s="88">
        <f t="shared" si="6"/>
        <v>1664120.9668430369</v>
      </c>
      <c r="AF19" s="38"/>
      <c r="AG19" s="26">
        <f>'Collateral Pool'!O19+'Collateral Pool'!P19+'Collateral Pool'!R19</f>
        <v>35801483.463998862</v>
      </c>
      <c r="AH19" s="19">
        <f>'Collateral Pool'!Q19</f>
        <v>11080221.032862792</v>
      </c>
      <c r="AI19" s="54">
        <f t="shared" si="7"/>
        <v>4268776.9749161592</v>
      </c>
      <c r="AJ19" s="54">
        <f t="shared" si="27"/>
        <v>4276698.0817935951</v>
      </c>
      <c r="AK19" s="19">
        <f t="shared" si="28"/>
        <v>663333.34042666666</v>
      </c>
      <c r="AL19" s="19">
        <f t="shared" si="8"/>
        <v>207291.66888333333</v>
      </c>
      <c r="AM19" s="19">
        <f t="shared" si="9"/>
        <v>37465604.4308419</v>
      </c>
      <c r="AN19" s="19">
        <f t="shared" si="10"/>
        <v>0</v>
      </c>
      <c r="AO19" s="37">
        <f t="shared" si="29"/>
        <v>0</v>
      </c>
      <c r="AQ19" s="7">
        <f t="shared" si="30"/>
        <v>0.11945589031510784</v>
      </c>
    </row>
    <row r="20" spans="1:43" s="7" customFormat="1">
      <c r="A20" s="4"/>
      <c r="B20" s="35">
        <f t="shared" ref="B20:B44" si="31">B19+1</f>
        <v>5</v>
      </c>
      <c r="C20" s="36">
        <f t="shared" si="0"/>
        <v>42155</v>
      </c>
      <c r="D20" s="32"/>
      <c r="E20" s="26">
        <f t="shared" si="11"/>
        <v>695682638.16234577</v>
      </c>
      <c r="F20" s="19">
        <f t="shared" si="1"/>
        <v>4058148.7226136844</v>
      </c>
      <c r="G20" s="19">
        <f t="shared" si="12"/>
        <v>3855241.286483</v>
      </c>
      <c r="H20" s="19">
        <f t="shared" si="13"/>
        <v>202907.43613068433</v>
      </c>
      <c r="I20" s="19">
        <f t="shared" si="2"/>
        <v>37431276.06023334</v>
      </c>
      <c r="J20" s="19">
        <f t="shared" si="14"/>
        <v>41286517.346716337</v>
      </c>
      <c r="K20" s="52">
        <f t="shared" si="15"/>
        <v>658251362.10211241</v>
      </c>
      <c r="L20" s="38"/>
      <c r="M20" s="26">
        <f t="shared" si="16"/>
        <v>99500001.063999996</v>
      </c>
      <c r="N20" s="19">
        <f t="shared" si="3"/>
        <v>663333.34042666666</v>
      </c>
      <c r="O20" s="53">
        <f t="shared" si="17"/>
        <v>630166.67340533331</v>
      </c>
      <c r="P20" s="19">
        <f t="shared" si="18"/>
        <v>33166.667021333356</v>
      </c>
      <c r="Q20" s="19">
        <f t="shared" si="4"/>
        <v>0</v>
      </c>
      <c r="R20" s="19">
        <f t="shared" si="19"/>
        <v>630166.67340533331</v>
      </c>
      <c r="S20" s="37">
        <f t="shared" si="20"/>
        <v>99500001.063999996</v>
      </c>
      <c r="T20" s="38"/>
      <c r="U20" s="26">
        <f t="shared" si="21"/>
        <v>49750000.531999998</v>
      </c>
      <c r="V20" s="54">
        <f t="shared" si="22"/>
        <v>196927.08543916667</v>
      </c>
      <c r="W20" s="19">
        <f t="shared" si="23"/>
        <v>0</v>
      </c>
      <c r="X20" s="19">
        <f t="shared" si="24"/>
        <v>196927.08543916667</v>
      </c>
      <c r="Y20" s="37">
        <f t="shared" si="5"/>
        <v>49750000.531999998</v>
      </c>
      <c r="Z20" s="38"/>
      <c r="AA20" s="26">
        <f>'Collateral Pool'!K20*'Bonds and Waterfalls'!$E$3/12</f>
        <v>4093936.871205607</v>
      </c>
      <c r="AB20" s="52">
        <f t="shared" si="25"/>
        <v>4093936.871205607</v>
      </c>
      <c r="AC20" s="38"/>
      <c r="AD20" s="26">
        <f t="shared" si="26"/>
        <v>207291.66888333333</v>
      </c>
      <c r="AE20" s="88">
        <f t="shared" si="6"/>
        <v>1604454.9118025582</v>
      </c>
      <c r="AF20" s="38"/>
      <c r="AG20" s="26">
        <f>'Collateral Pool'!O20+'Collateral Pool'!P20+'Collateral Pool'!R20</f>
        <v>35826821.14843078</v>
      </c>
      <c r="AH20" s="19">
        <f>'Collateral Pool'!Q20</f>
        <v>10627165.51493185</v>
      </c>
      <c r="AI20" s="54">
        <f t="shared" si="7"/>
        <v>4093936.871205607</v>
      </c>
      <c r="AJ20" s="54">
        <f t="shared" si="27"/>
        <v>4058148.7226136844</v>
      </c>
      <c r="AK20" s="19">
        <f t="shared" si="28"/>
        <v>663333.34042666666</v>
      </c>
      <c r="AL20" s="19">
        <f t="shared" si="8"/>
        <v>207291.66888333333</v>
      </c>
      <c r="AM20" s="19">
        <f t="shared" si="9"/>
        <v>37431276.06023334</v>
      </c>
      <c r="AN20" s="19">
        <f t="shared" si="10"/>
        <v>0</v>
      </c>
      <c r="AO20" s="37">
        <f t="shared" si="29"/>
        <v>0</v>
      </c>
      <c r="AQ20" s="7">
        <f t="shared" si="30"/>
        <v>0.11327124742105209</v>
      </c>
    </row>
    <row r="21" spans="1:43" s="7" customFormat="1">
      <c r="A21" s="4"/>
      <c r="B21" s="35">
        <f t="shared" si="31"/>
        <v>6</v>
      </c>
      <c r="C21" s="36">
        <f t="shared" si="0"/>
        <v>42185</v>
      </c>
      <c r="D21" s="32"/>
      <c r="E21" s="26">
        <f t="shared" si="11"/>
        <v>658251362.10211241</v>
      </c>
      <c r="F21" s="19">
        <f t="shared" si="1"/>
        <v>3839799.612262323</v>
      </c>
      <c r="G21" s="19">
        <f t="shared" si="12"/>
        <v>3647809.6316492069</v>
      </c>
      <c r="H21" s="19">
        <f t="shared" si="13"/>
        <v>191989.98061311617</v>
      </c>
      <c r="I21" s="19">
        <f t="shared" si="2"/>
        <v>37396694.298245549</v>
      </c>
      <c r="J21" s="19">
        <f t="shared" si="14"/>
        <v>41044503.929894753</v>
      </c>
      <c r="K21" s="52">
        <f t="shared" si="15"/>
        <v>620854667.80386686</v>
      </c>
      <c r="L21" s="38"/>
      <c r="M21" s="26">
        <f t="shared" si="16"/>
        <v>99500001.063999996</v>
      </c>
      <c r="N21" s="19">
        <f t="shared" si="3"/>
        <v>663333.34042666666</v>
      </c>
      <c r="O21" s="53">
        <f t="shared" si="17"/>
        <v>630166.67340533331</v>
      </c>
      <c r="P21" s="19">
        <f t="shared" si="18"/>
        <v>33166.667021333356</v>
      </c>
      <c r="Q21" s="19">
        <f t="shared" si="4"/>
        <v>0</v>
      </c>
      <c r="R21" s="19">
        <f t="shared" si="19"/>
        <v>630166.67340533331</v>
      </c>
      <c r="S21" s="37">
        <f t="shared" si="20"/>
        <v>99500001.063999996</v>
      </c>
      <c r="T21" s="38"/>
      <c r="U21" s="26">
        <f t="shared" si="21"/>
        <v>49750000.531999998</v>
      </c>
      <c r="V21" s="54">
        <f t="shared" si="22"/>
        <v>196927.08543916667</v>
      </c>
      <c r="W21" s="19">
        <f t="shared" si="23"/>
        <v>0</v>
      </c>
      <c r="X21" s="19">
        <f t="shared" si="24"/>
        <v>196927.08543916667</v>
      </c>
      <c r="Y21" s="37">
        <f t="shared" si="5"/>
        <v>49750000.531999998</v>
      </c>
      <c r="Z21" s="38"/>
      <c r="AA21" s="26">
        <f>'Collateral Pool'!K21*'Bonds and Waterfalls'!$E$3/12</f>
        <v>3918974.7243150412</v>
      </c>
      <c r="AB21" s="52">
        <f t="shared" si="25"/>
        <v>3918974.7243150412</v>
      </c>
      <c r="AC21" s="38"/>
      <c r="AD21" s="26">
        <f t="shared" si="26"/>
        <v>207291.66888333333</v>
      </c>
      <c r="AE21" s="88">
        <f t="shared" si="6"/>
        <v>1544299.3983220551</v>
      </c>
      <c r="AF21" s="38"/>
      <c r="AG21" s="26">
        <f>'Collateral Pool'!O21+'Collateral Pool'!P21+'Collateral Pool'!R21</f>
        <v>35852394.899923496</v>
      </c>
      <c r="AH21" s="19">
        <f>'Collateral Pool'!Q21</f>
        <v>10173698.74420942</v>
      </c>
      <c r="AI21" s="54">
        <f t="shared" si="7"/>
        <v>3918974.7243150412</v>
      </c>
      <c r="AJ21" s="54">
        <f t="shared" si="27"/>
        <v>3839799.612262323</v>
      </c>
      <c r="AK21" s="19">
        <f t="shared" si="28"/>
        <v>663333.34042666666</v>
      </c>
      <c r="AL21" s="19">
        <f t="shared" si="8"/>
        <v>207291.66888333333</v>
      </c>
      <c r="AM21" s="19">
        <f t="shared" si="9"/>
        <v>37396694.298245549</v>
      </c>
      <c r="AN21" s="19">
        <f t="shared" si="10"/>
        <v>0</v>
      </c>
      <c r="AO21" s="37">
        <f t="shared" si="29"/>
        <v>0</v>
      </c>
      <c r="AQ21" s="7">
        <f t="shared" si="30"/>
        <v>0.10710022644179111</v>
      </c>
    </row>
    <row r="22" spans="1:43" s="7" customFormat="1">
      <c r="A22" s="4"/>
      <c r="B22" s="35">
        <f t="shared" si="31"/>
        <v>7</v>
      </c>
      <c r="C22" s="36">
        <f t="shared" si="0"/>
        <v>42216</v>
      </c>
      <c r="D22" s="32"/>
      <c r="E22" s="26">
        <f t="shared" si="11"/>
        <v>620854667.80386686</v>
      </c>
      <c r="F22" s="19">
        <f t="shared" si="1"/>
        <v>3621652.2288558907</v>
      </c>
      <c r="G22" s="19">
        <f t="shared" si="12"/>
        <v>3440569.6174130961</v>
      </c>
      <c r="H22" s="19">
        <f t="shared" si="13"/>
        <v>181082.61144279456</v>
      </c>
      <c r="I22" s="19">
        <f t="shared" si="2"/>
        <v>37345859.834614061</v>
      </c>
      <c r="J22" s="19">
        <f t="shared" si="14"/>
        <v>40786429.452027157</v>
      </c>
      <c r="K22" s="52">
        <f t="shared" si="15"/>
        <v>583508807.96925282</v>
      </c>
      <c r="L22" s="38"/>
      <c r="M22" s="26">
        <f t="shared" si="16"/>
        <v>99500001.063999996</v>
      </c>
      <c r="N22" s="19">
        <f t="shared" si="3"/>
        <v>663333.34042666666</v>
      </c>
      <c r="O22" s="53">
        <f t="shared" si="17"/>
        <v>630166.67340533331</v>
      </c>
      <c r="P22" s="19">
        <f t="shared" si="18"/>
        <v>33166.667021333356</v>
      </c>
      <c r="Q22" s="19">
        <f t="shared" si="4"/>
        <v>0</v>
      </c>
      <c r="R22" s="19">
        <f t="shared" si="19"/>
        <v>630166.67340533331</v>
      </c>
      <c r="S22" s="37">
        <f t="shared" si="20"/>
        <v>99500001.063999996</v>
      </c>
      <c r="T22" s="38"/>
      <c r="U22" s="26">
        <f t="shared" si="21"/>
        <v>49750000.531999998</v>
      </c>
      <c r="V22" s="54">
        <f t="shared" si="22"/>
        <v>196927.08543916667</v>
      </c>
      <c r="W22" s="19">
        <f t="shared" si="23"/>
        <v>0</v>
      </c>
      <c r="X22" s="19">
        <f t="shared" si="24"/>
        <v>196927.08543916667</v>
      </c>
      <c r="Y22" s="37">
        <f t="shared" si="5"/>
        <v>49750000.531999998</v>
      </c>
      <c r="Z22" s="38"/>
      <c r="AA22" s="26">
        <f>'Collateral Pool'!K22*'Bonds and Waterfalls'!$E$3/12</f>
        <v>3743889.3971881177</v>
      </c>
      <c r="AB22" s="52">
        <f t="shared" si="25"/>
        <v>3743889.3971881177</v>
      </c>
      <c r="AC22" s="38"/>
      <c r="AD22" s="26">
        <f t="shared" si="26"/>
        <v>207291.66888333333</v>
      </c>
      <c r="AE22" s="88">
        <f t="shared" si="6"/>
        <v>1484687.9742924478</v>
      </c>
      <c r="AF22" s="38"/>
      <c r="AG22" s="26">
        <f>'Collateral Pool'!O22+'Collateral Pool'!P22+'Collateral Pool'!R22</f>
        <v>35861171.860321611</v>
      </c>
      <c r="AH22" s="19">
        <f>'Collateral Pool'!Q22</f>
        <v>9720854.6096464563</v>
      </c>
      <c r="AI22" s="54">
        <f t="shared" si="7"/>
        <v>3743889.3971881177</v>
      </c>
      <c r="AJ22" s="54">
        <f t="shared" si="27"/>
        <v>3621652.2288558907</v>
      </c>
      <c r="AK22" s="19">
        <f t="shared" si="28"/>
        <v>663333.34042666666</v>
      </c>
      <c r="AL22" s="19">
        <f t="shared" si="8"/>
        <v>207291.66888333333</v>
      </c>
      <c r="AM22" s="19">
        <f t="shared" si="9"/>
        <v>37345859.834614061</v>
      </c>
      <c r="AN22" s="19">
        <f t="shared" si="10"/>
        <v>0</v>
      </c>
      <c r="AO22" s="37">
        <f t="shared" si="29"/>
        <v>0</v>
      </c>
      <c r="AQ22" s="7">
        <f t="shared" si="30"/>
        <v>0.10099090578975327</v>
      </c>
    </row>
    <row r="23" spans="1:43" s="7" customFormat="1">
      <c r="A23" s="4"/>
      <c r="B23" s="35">
        <f t="shared" si="31"/>
        <v>8</v>
      </c>
      <c r="C23" s="36">
        <f t="shared" si="0"/>
        <v>42247</v>
      </c>
      <c r="D23" s="32"/>
      <c r="E23" s="26">
        <f t="shared" si="11"/>
        <v>583508807.96925282</v>
      </c>
      <c r="F23" s="19">
        <f t="shared" si="1"/>
        <v>3403801.3798206416</v>
      </c>
      <c r="G23" s="19">
        <f t="shared" si="12"/>
        <v>3233611.3108296092</v>
      </c>
      <c r="H23" s="19">
        <f t="shared" si="13"/>
        <v>170190.06899103243</v>
      </c>
      <c r="I23" s="19">
        <f t="shared" si="2"/>
        <v>37314917.131350152</v>
      </c>
      <c r="J23" s="19">
        <f t="shared" si="14"/>
        <v>40548528.442179762</v>
      </c>
      <c r="K23" s="52">
        <f t="shared" si="15"/>
        <v>546193890.83790267</v>
      </c>
      <c r="L23" s="38"/>
      <c r="M23" s="26">
        <f t="shared" si="16"/>
        <v>99500001.063999996</v>
      </c>
      <c r="N23" s="19">
        <f t="shared" si="3"/>
        <v>663333.34042666666</v>
      </c>
      <c r="O23" s="53">
        <f t="shared" si="17"/>
        <v>630166.67340533331</v>
      </c>
      <c r="P23" s="19">
        <f t="shared" si="18"/>
        <v>33166.667021333356</v>
      </c>
      <c r="Q23" s="19">
        <f t="shared" si="4"/>
        <v>0</v>
      </c>
      <c r="R23" s="19">
        <f t="shared" si="19"/>
        <v>630166.67340533331</v>
      </c>
      <c r="S23" s="37">
        <f t="shared" si="20"/>
        <v>99500001.063999996</v>
      </c>
      <c r="T23" s="38"/>
      <c r="U23" s="26">
        <f t="shared" si="21"/>
        <v>49750000.531999998</v>
      </c>
      <c r="V23" s="54">
        <f t="shared" si="22"/>
        <v>196927.08543916667</v>
      </c>
      <c r="W23" s="19">
        <f t="shared" si="23"/>
        <v>0</v>
      </c>
      <c r="X23" s="19">
        <f t="shared" si="24"/>
        <v>196927.08543916667</v>
      </c>
      <c r="Y23" s="37">
        <f t="shared" si="5"/>
        <v>49750000.531999998</v>
      </c>
      <c r="Z23" s="38"/>
      <c r="AA23" s="26">
        <f>'Collateral Pool'!K23*'Bonds and Waterfalls'!$E$3/12</f>
        <v>3569061.330830147</v>
      </c>
      <c r="AB23" s="52">
        <f t="shared" si="25"/>
        <v>3569061.330830147</v>
      </c>
      <c r="AC23" s="38"/>
      <c r="AD23" s="26">
        <f t="shared" si="26"/>
        <v>207291.66888333333</v>
      </c>
      <c r="AE23" s="88">
        <f t="shared" si="6"/>
        <v>1424057.7176656872</v>
      </c>
      <c r="AF23" s="38"/>
      <c r="AG23" s="26">
        <f>'Collateral Pool'!O23+'Collateral Pool'!P23+'Collateral Pool'!R23</f>
        <v>35890859.413684465</v>
      </c>
      <c r="AH23" s="19">
        <f>'Collateral Pool'!Q23</f>
        <v>9267545.4376264755</v>
      </c>
      <c r="AI23" s="54">
        <f t="shared" si="7"/>
        <v>3569061.330830147</v>
      </c>
      <c r="AJ23" s="54">
        <f t="shared" si="27"/>
        <v>3403801.3798206416</v>
      </c>
      <c r="AK23" s="19">
        <f t="shared" si="28"/>
        <v>663333.34042666666</v>
      </c>
      <c r="AL23" s="19">
        <f t="shared" si="8"/>
        <v>207291.66888333333</v>
      </c>
      <c r="AM23" s="19">
        <f t="shared" si="9"/>
        <v>37314917.131350152</v>
      </c>
      <c r="AN23" s="19">
        <f t="shared" si="10"/>
        <v>0</v>
      </c>
      <c r="AO23" s="37">
        <f t="shared" si="29"/>
        <v>0</v>
      </c>
      <c r="AQ23" s="7">
        <f t="shared" si="30"/>
        <v>9.4837555729379949E-2</v>
      </c>
    </row>
    <row r="24" spans="1:43" s="7" customFormat="1">
      <c r="A24" s="4"/>
      <c r="B24" s="35">
        <f t="shared" si="31"/>
        <v>9</v>
      </c>
      <c r="C24" s="36">
        <f t="shared" si="0"/>
        <v>42277</v>
      </c>
      <c r="D24" s="32"/>
      <c r="E24" s="26">
        <f t="shared" si="11"/>
        <v>546193890.83790267</v>
      </c>
      <c r="F24" s="19">
        <f t="shared" si="1"/>
        <v>3186131.0298877656</v>
      </c>
      <c r="G24" s="19">
        <f t="shared" si="12"/>
        <v>3026824.4783933773</v>
      </c>
      <c r="H24" s="19">
        <f t="shared" si="13"/>
        <v>159306.55149438838</v>
      </c>
      <c r="I24" s="19">
        <f t="shared" si="2"/>
        <v>37283514.481091768</v>
      </c>
      <c r="J24" s="19">
        <f t="shared" si="14"/>
        <v>40310338.959485143</v>
      </c>
      <c r="K24" s="52">
        <f t="shared" si="15"/>
        <v>508910376.35681093</v>
      </c>
      <c r="L24" s="38"/>
      <c r="M24" s="26">
        <f t="shared" si="16"/>
        <v>99500001.063999996</v>
      </c>
      <c r="N24" s="19">
        <f t="shared" si="3"/>
        <v>663333.34042666666</v>
      </c>
      <c r="O24" s="53">
        <f t="shared" si="17"/>
        <v>630166.67340533331</v>
      </c>
      <c r="P24" s="19">
        <f t="shared" si="18"/>
        <v>33166.667021333356</v>
      </c>
      <c r="Q24" s="19">
        <f t="shared" si="4"/>
        <v>0</v>
      </c>
      <c r="R24" s="19">
        <f t="shared" si="19"/>
        <v>630166.67340533331</v>
      </c>
      <c r="S24" s="37">
        <f t="shared" si="20"/>
        <v>99500001.063999996</v>
      </c>
      <c r="T24" s="38"/>
      <c r="U24" s="26">
        <f t="shared" si="21"/>
        <v>49750000.531999998</v>
      </c>
      <c r="V24" s="54">
        <f t="shared" si="22"/>
        <v>196927.08543916667</v>
      </c>
      <c r="W24" s="19">
        <f t="shared" si="23"/>
        <v>0</v>
      </c>
      <c r="X24" s="19">
        <f t="shared" si="24"/>
        <v>196927.08543916667</v>
      </c>
      <c r="Y24" s="37">
        <f t="shared" si="5"/>
        <v>49750000.531999998</v>
      </c>
      <c r="Z24" s="38"/>
      <c r="AA24" s="26">
        <f>'Collateral Pool'!K24*'Bonds and Waterfalls'!$E$3/12</f>
        <v>3394090.2694234787</v>
      </c>
      <c r="AB24" s="52">
        <f t="shared" si="25"/>
        <v>3394090.2694234787</v>
      </c>
      <c r="AC24" s="38"/>
      <c r="AD24" s="26">
        <f t="shared" si="26"/>
        <v>207291.66888333333</v>
      </c>
      <c r="AE24" s="88">
        <f t="shared" si="6"/>
        <v>1362921.714615155</v>
      </c>
      <c r="AF24" s="38"/>
      <c r="AG24" s="26">
        <f>'Collateral Pool'!O24+'Collateral Pool'!P24+'Collateral Pool'!R24</f>
        <v>35920592.766476609</v>
      </c>
      <c r="AH24" s="19">
        <f>'Collateral Pool'!Q24</f>
        <v>8813768.0232363995</v>
      </c>
      <c r="AI24" s="54">
        <f t="shared" si="7"/>
        <v>3394090.2694234787</v>
      </c>
      <c r="AJ24" s="54">
        <f t="shared" si="27"/>
        <v>3186131.0298877656</v>
      </c>
      <c r="AK24" s="19">
        <f t="shared" si="28"/>
        <v>663333.34042666666</v>
      </c>
      <c r="AL24" s="19">
        <f t="shared" si="8"/>
        <v>207291.66888333333</v>
      </c>
      <c r="AM24" s="19">
        <f t="shared" si="9"/>
        <v>37283514.481091768</v>
      </c>
      <c r="AN24" s="19">
        <f t="shared" si="10"/>
        <v>0</v>
      </c>
      <c r="AO24" s="37">
        <f t="shared" si="29"/>
        <v>0</v>
      </c>
      <c r="AQ24" s="7">
        <f t="shared" si="30"/>
        <v>8.8699288750637401E-2</v>
      </c>
    </row>
    <row r="25" spans="1:43" s="7" customFormat="1">
      <c r="A25" s="4"/>
      <c r="B25" s="35">
        <f t="shared" si="31"/>
        <v>10</v>
      </c>
      <c r="C25" s="36">
        <f t="shared" si="0"/>
        <v>42308</v>
      </c>
      <c r="D25" s="32"/>
      <c r="E25" s="26">
        <f t="shared" si="11"/>
        <v>508910376.35681093</v>
      </c>
      <c r="F25" s="19">
        <f t="shared" si="1"/>
        <v>2968643.8620813973</v>
      </c>
      <c r="G25" s="19">
        <f t="shared" si="12"/>
        <v>2820211.6689773272</v>
      </c>
      <c r="H25" s="19">
        <f t="shared" si="13"/>
        <v>148432.19310407015</v>
      </c>
      <c r="I25" s="19">
        <f t="shared" si="2"/>
        <v>37251489.289149463</v>
      </c>
      <c r="J25" s="19">
        <f t="shared" si="14"/>
        <v>40071700.958126791</v>
      </c>
      <c r="K25" s="52">
        <f t="shared" si="15"/>
        <v>471658887.06766146</v>
      </c>
      <c r="L25" s="38"/>
      <c r="M25" s="26">
        <f t="shared" si="16"/>
        <v>99500001.063999996</v>
      </c>
      <c r="N25" s="19">
        <f t="shared" si="3"/>
        <v>663333.34042666666</v>
      </c>
      <c r="O25" s="53">
        <f t="shared" si="17"/>
        <v>630166.67340533331</v>
      </c>
      <c r="P25" s="19">
        <f t="shared" si="18"/>
        <v>33166.667021333356</v>
      </c>
      <c r="Q25" s="19">
        <f t="shared" si="4"/>
        <v>0</v>
      </c>
      <c r="R25" s="19">
        <f t="shared" si="19"/>
        <v>630166.67340533331</v>
      </c>
      <c r="S25" s="37">
        <f t="shared" si="20"/>
        <v>99500001.063999996</v>
      </c>
      <c r="T25" s="38"/>
      <c r="U25" s="26">
        <f t="shared" si="21"/>
        <v>49750000.531999998</v>
      </c>
      <c r="V25" s="54">
        <f t="shared" si="22"/>
        <v>196927.08543916667</v>
      </c>
      <c r="W25" s="19">
        <f t="shared" si="23"/>
        <v>0</v>
      </c>
      <c r="X25" s="19">
        <f t="shared" si="24"/>
        <v>196927.08543916667</v>
      </c>
      <c r="Y25" s="37">
        <f t="shared" si="5"/>
        <v>49750000.531999998</v>
      </c>
      <c r="Z25" s="38"/>
      <c r="AA25" s="26">
        <f>'Collateral Pool'!K25*'Bonds and Waterfalls'!$E$3/12</f>
        <v>3218975.992367527</v>
      </c>
      <c r="AB25" s="52">
        <f t="shared" si="25"/>
        <v>3218975.992367527</v>
      </c>
      <c r="AC25" s="38"/>
      <c r="AD25" s="26">
        <f t="shared" si="26"/>
        <v>207291.66888333333</v>
      </c>
      <c r="AE25" s="88">
        <f t="shared" si="6"/>
        <v>1301275.991575418</v>
      </c>
      <c r="AF25" s="38"/>
      <c r="AG25" s="26">
        <f>'Collateral Pool'!O25+'Collateral Pool'!P25+'Collateral Pool'!R25</f>
        <v>35950213.297574043</v>
      </c>
      <c r="AH25" s="19">
        <f>'Collateral Pool'!Q25</f>
        <v>8359520.8553343415</v>
      </c>
      <c r="AI25" s="54">
        <f t="shared" si="7"/>
        <v>3218975.992367527</v>
      </c>
      <c r="AJ25" s="54">
        <f t="shared" si="27"/>
        <v>2968643.8620813973</v>
      </c>
      <c r="AK25" s="19">
        <f t="shared" si="28"/>
        <v>663333.34042666666</v>
      </c>
      <c r="AL25" s="19">
        <f t="shared" si="8"/>
        <v>207291.66888333333</v>
      </c>
      <c r="AM25" s="19">
        <f t="shared" si="9"/>
        <v>37251489.289149463</v>
      </c>
      <c r="AN25" s="19">
        <f t="shared" si="10"/>
        <v>0</v>
      </c>
      <c r="AO25" s="37">
        <f t="shared" si="29"/>
        <v>0</v>
      </c>
      <c r="AQ25" s="7">
        <f t="shared" si="30"/>
        <v>8.2576529866701082E-2</v>
      </c>
    </row>
    <row r="26" spans="1:43" s="7" customFormat="1">
      <c r="A26" s="4"/>
      <c r="B26" s="35">
        <f t="shared" si="31"/>
        <v>11</v>
      </c>
      <c r="C26" s="36">
        <f t="shared" si="0"/>
        <v>42338</v>
      </c>
      <c r="D26" s="32"/>
      <c r="E26" s="26">
        <f t="shared" si="11"/>
        <v>471658887.06766146</v>
      </c>
      <c r="F26" s="19">
        <f t="shared" si="1"/>
        <v>2751343.507894692</v>
      </c>
      <c r="G26" s="19">
        <f t="shared" si="12"/>
        <v>2613776.3324999572</v>
      </c>
      <c r="H26" s="19">
        <f t="shared" si="13"/>
        <v>137567.17539473483</v>
      </c>
      <c r="I26" s="19">
        <f t="shared" si="2"/>
        <v>37218650.94092539</v>
      </c>
      <c r="J26" s="19">
        <f t="shared" si="14"/>
        <v>39832427.273425348</v>
      </c>
      <c r="K26" s="52">
        <f t="shared" si="15"/>
        <v>434440236.12673604</v>
      </c>
      <c r="L26" s="38"/>
      <c r="M26" s="26">
        <f t="shared" si="16"/>
        <v>99500001.063999996</v>
      </c>
      <c r="N26" s="19">
        <f t="shared" si="3"/>
        <v>663333.34042666666</v>
      </c>
      <c r="O26" s="53">
        <f t="shared" si="17"/>
        <v>630166.67340533331</v>
      </c>
      <c r="P26" s="19">
        <f t="shared" si="18"/>
        <v>33166.667021333356</v>
      </c>
      <c r="Q26" s="19">
        <f t="shared" si="4"/>
        <v>0</v>
      </c>
      <c r="R26" s="19">
        <f t="shared" si="19"/>
        <v>630166.67340533331</v>
      </c>
      <c r="S26" s="37">
        <f t="shared" si="20"/>
        <v>99500001.063999996</v>
      </c>
      <c r="T26" s="38"/>
      <c r="U26" s="26">
        <f t="shared" si="21"/>
        <v>49750000.531999998</v>
      </c>
      <c r="V26" s="54">
        <f t="shared" si="22"/>
        <v>196927.08543916667</v>
      </c>
      <c r="W26" s="19">
        <f t="shared" si="23"/>
        <v>0</v>
      </c>
      <c r="X26" s="19">
        <f t="shared" si="24"/>
        <v>196927.08543916667</v>
      </c>
      <c r="Y26" s="37">
        <f t="shared" si="5"/>
        <v>49750000.531999998</v>
      </c>
      <c r="Z26" s="38"/>
      <c r="AA26" s="26">
        <f>'Collateral Pool'!K26*'Bonds and Waterfalls'!$E$3/12</f>
        <v>3043719.0430867909</v>
      </c>
      <c r="AB26" s="52">
        <f t="shared" si="25"/>
        <v>3043719.0430867909</v>
      </c>
      <c r="AC26" s="38"/>
      <c r="AD26" s="26">
        <f t="shared" si="26"/>
        <v>207291.66888333333</v>
      </c>
      <c r="AE26" s="88">
        <f t="shared" si="6"/>
        <v>1239116.8454272589</v>
      </c>
      <c r="AF26" s="38"/>
      <c r="AG26" s="26">
        <f>'Collateral Pool'!O26+'Collateral Pool'!P26+'Collateral Pool'!R26</f>
        <v>35979534.09549813</v>
      </c>
      <c r="AH26" s="19">
        <f>'Collateral Pool'!Q26</f>
        <v>7904804.405718741</v>
      </c>
      <c r="AI26" s="54">
        <f t="shared" si="7"/>
        <v>3043719.0430867909</v>
      </c>
      <c r="AJ26" s="54">
        <f t="shared" si="27"/>
        <v>2751343.507894692</v>
      </c>
      <c r="AK26" s="19">
        <f t="shared" si="28"/>
        <v>663333.34042666666</v>
      </c>
      <c r="AL26" s="19">
        <f t="shared" si="8"/>
        <v>207291.66888333333</v>
      </c>
      <c r="AM26" s="19">
        <f t="shared" si="9"/>
        <v>37218650.94092539</v>
      </c>
      <c r="AN26" s="19">
        <f t="shared" si="10"/>
        <v>0</v>
      </c>
      <c r="AO26" s="37">
        <f t="shared" si="29"/>
        <v>0</v>
      </c>
      <c r="AQ26" s="7">
        <f t="shared" si="30"/>
        <v>7.6469681363632455E-2</v>
      </c>
    </row>
    <row r="27" spans="1:43" s="7" customFormat="1">
      <c r="A27" s="4"/>
      <c r="B27" s="35">
        <f t="shared" si="31"/>
        <v>12</v>
      </c>
      <c r="C27" s="36">
        <f t="shared" si="0"/>
        <v>42369</v>
      </c>
      <c r="D27" s="32"/>
      <c r="E27" s="26">
        <f t="shared" si="11"/>
        <v>434440236.12673604</v>
      </c>
      <c r="F27" s="19">
        <f t="shared" si="1"/>
        <v>2534234.7107392936</v>
      </c>
      <c r="G27" s="19">
        <f t="shared" si="12"/>
        <v>2407522.975202329</v>
      </c>
      <c r="H27" s="19">
        <f t="shared" si="13"/>
        <v>126711.73553696461</v>
      </c>
      <c r="I27" s="19">
        <f t="shared" si="2"/>
        <v>37184773.945971824</v>
      </c>
      <c r="J27" s="19">
        <f t="shared" si="14"/>
        <v>39592296.921174154</v>
      </c>
      <c r="K27" s="52">
        <f t="shared" si="15"/>
        <v>397255462.1807642</v>
      </c>
      <c r="L27" s="38"/>
      <c r="M27" s="26">
        <f t="shared" si="16"/>
        <v>99500001.063999996</v>
      </c>
      <c r="N27" s="19">
        <f t="shared" si="3"/>
        <v>663333.34042666666</v>
      </c>
      <c r="O27" s="53">
        <f t="shared" si="17"/>
        <v>630166.67340533331</v>
      </c>
      <c r="P27" s="19">
        <f t="shared" si="18"/>
        <v>33166.667021333356</v>
      </c>
      <c r="Q27" s="19">
        <f t="shared" si="4"/>
        <v>0</v>
      </c>
      <c r="R27" s="19">
        <f t="shared" si="19"/>
        <v>630166.67340533331</v>
      </c>
      <c r="S27" s="37">
        <f t="shared" si="20"/>
        <v>99500001.063999996</v>
      </c>
      <c r="T27" s="38"/>
      <c r="U27" s="26">
        <f t="shared" si="21"/>
        <v>49750000.531999998</v>
      </c>
      <c r="V27" s="54">
        <f t="shared" si="22"/>
        <v>196927.08543916667</v>
      </c>
      <c r="W27" s="19">
        <f t="shared" si="23"/>
        <v>0</v>
      </c>
      <c r="X27" s="19">
        <f t="shared" si="24"/>
        <v>196927.08543916667</v>
      </c>
      <c r="Y27" s="37">
        <f t="shared" si="5"/>
        <v>49750000.531999998</v>
      </c>
      <c r="Z27" s="38"/>
      <c r="AA27" s="26">
        <f>'Collateral Pool'!K27*'Bonds and Waterfalls'!$E$3/12</f>
        <v>2868320.8652960528</v>
      </c>
      <c r="AB27" s="52">
        <f t="shared" si="25"/>
        <v>2868320.8652960528</v>
      </c>
      <c r="AC27" s="38"/>
      <c r="AD27" s="26">
        <f t="shared" si="26"/>
        <v>207291.66888333333</v>
      </c>
      <c r="AE27" s="88">
        <f t="shared" si="6"/>
        <v>1176440.8995675761</v>
      </c>
      <c r="AF27" s="38"/>
      <c r="AG27" s="26">
        <f>'Collateral Pool'!O27+'Collateral Pool'!P27+'Collateral Pool'!R27</f>
        <v>36008333.04640425</v>
      </c>
      <c r="AH27" s="19">
        <f>'Collateral Pool'!Q27</f>
        <v>7449621.4849129226</v>
      </c>
      <c r="AI27" s="54">
        <f t="shared" si="7"/>
        <v>2868320.8652960528</v>
      </c>
      <c r="AJ27" s="54">
        <f t="shared" si="27"/>
        <v>2534234.7107392936</v>
      </c>
      <c r="AK27" s="19">
        <f t="shared" si="28"/>
        <v>663333.34042666666</v>
      </c>
      <c r="AL27" s="19">
        <f t="shared" si="8"/>
        <v>207291.66888333333</v>
      </c>
      <c r="AM27" s="19">
        <f t="shared" si="9"/>
        <v>37184773.945971824</v>
      </c>
      <c r="AN27" s="19">
        <f t="shared" si="10"/>
        <v>0</v>
      </c>
      <c r="AO27" s="37">
        <f t="shared" si="29"/>
        <v>0</v>
      </c>
      <c r="AQ27" s="7">
        <f t="shared" si="30"/>
        <v>7.0379117730148835E-2</v>
      </c>
    </row>
    <row r="28" spans="1:43" s="7" customFormat="1">
      <c r="A28" s="4"/>
      <c r="B28" s="35">
        <f t="shared" si="31"/>
        <v>13</v>
      </c>
      <c r="C28" s="36">
        <f t="shared" si="0"/>
        <v>42400</v>
      </c>
      <c r="D28" s="32"/>
      <c r="E28" s="26">
        <f t="shared" si="11"/>
        <v>397255462.1807642</v>
      </c>
      <c r="F28" s="19">
        <f t="shared" si="1"/>
        <v>2317323.5293877912</v>
      </c>
      <c r="G28" s="19">
        <f t="shared" si="12"/>
        <v>2201457.3529184014</v>
      </c>
      <c r="H28" s="19">
        <f t="shared" si="13"/>
        <v>115866.17646938981</v>
      </c>
      <c r="I28" s="19">
        <f t="shared" si="2"/>
        <v>37120864.831500486</v>
      </c>
      <c r="J28" s="19">
        <f t="shared" si="14"/>
        <v>39322322.184418887</v>
      </c>
      <c r="K28" s="52">
        <f t="shared" si="15"/>
        <v>360134597.34926373</v>
      </c>
      <c r="L28" s="38"/>
      <c r="M28" s="26">
        <f t="shared" si="16"/>
        <v>99500001.063999996</v>
      </c>
      <c r="N28" s="19">
        <f t="shared" si="3"/>
        <v>663333.34042666666</v>
      </c>
      <c r="O28" s="53">
        <f t="shared" si="17"/>
        <v>630166.67340533331</v>
      </c>
      <c r="P28" s="19">
        <f t="shared" si="18"/>
        <v>33166.667021333356</v>
      </c>
      <c r="Q28" s="19">
        <f t="shared" si="4"/>
        <v>0</v>
      </c>
      <c r="R28" s="19">
        <f t="shared" si="19"/>
        <v>630166.67340533331</v>
      </c>
      <c r="S28" s="37">
        <f t="shared" si="20"/>
        <v>99500001.063999996</v>
      </c>
      <c r="T28" s="38"/>
      <c r="U28" s="26">
        <f t="shared" si="21"/>
        <v>49750000.531999998</v>
      </c>
      <c r="V28" s="54">
        <f t="shared" si="22"/>
        <v>196927.08543916667</v>
      </c>
      <c r="W28" s="19">
        <f t="shared" si="23"/>
        <v>0</v>
      </c>
      <c r="X28" s="19">
        <f t="shared" si="24"/>
        <v>196927.08543916667</v>
      </c>
      <c r="Y28" s="37">
        <f t="shared" si="5"/>
        <v>49750000.531999998</v>
      </c>
      <c r="Z28" s="38"/>
      <c r="AA28" s="26">
        <f>'Collateral Pool'!K28*'Bonds and Waterfalls'!$E$3/12</f>
        <v>2692783.9725584504</v>
      </c>
      <c r="AB28" s="52">
        <f t="shared" si="25"/>
        <v>2692783.9725584504</v>
      </c>
      <c r="AC28" s="38"/>
      <c r="AD28" s="26">
        <f t="shared" si="26"/>
        <v>207291.66888333333</v>
      </c>
      <c r="AE28" s="88">
        <f t="shared" si="6"/>
        <v>1115321.9621790992</v>
      </c>
      <c r="AF28" s="38"/>
      <c r="AG28" s="26">
        <f>'Collateral Pool'!O28+'Collateral Pool'!P28+'Collateral Pool'!R28</f>
        <v>36005542.869321384</v>
      </c>
      <c r="AH28" s="19">
        <f>'Collateral Pool'!Q28</f>
        <v>6996054.4734353404</v>
      </c>
      <c r="AI28" s="54">
        <f t="shared" si="7"/>
        <v>2692783.9725584504</v>
      </c>
      <c r="AJ28" s="54">
        <f t="shared" si="27"/>
        <v>2317323.5293877912</v>
      </c>
      <c r="AK28" s="19">
        <f t="shared" si="28"/>
        <v>663333.34042666666</v>
      </c>
      <c r="AL28" s="19">
        <f t="shared" si="8"/>
        <v>207291.66888333333</v>
      </c>
      <c r="AM28" s="19">
        <f t="shared" si="9"/>
        <v>37120864.831500486</v>
      </c>
      <c r="AN28" s="19">
        <f t="shared" si="10"/>
        <v>0</v>
      </c>
      <c r="AO28" s="37">
        <f t="shared" si="29"/>
        <v>0</v>
      </c>
      <c r="AQ28" s="7">
        <f t="shared" si="30"/>
        <v>6.4360188590914788E-2</v>
      </c>
    </row>
    <row r="29" spans="1:43" s="7" customFormat="1">
      <c r="A29" s="4"/>
      <c r="B29" s="35">
        <f t="shared" si="31"/>
        <v>14</v>
      </c>
      <c r="C29" s="36">
        <f t="shared" si="0"/>
        <v>42429</v>
      </c>
      <c r="D29" s="32"/>
      <c r="E29" s="26">
        <f t="shared" si="11"/>
        <v>360134597.34926373</v>
      </c>
      <c r="F29" s="19">
        <f t="shared" si="1"/>
        <v>2100785.1512040389</v>
      </c>
      <c r="G29" s="19">
        <f t="shared" si="12"/>
        <v>1995745.8936438367</v>
      </c>
      <c r="H29" s="19">
        <f t="shared" si="13"/>
        <v>105039.25756020215</v>
      </c>
      <c r="I29" s="19">
        <f t="shared" si="2"/>
        <v>37096505.2339046</v>
      </c>
      <c r="J29" s="19">
        <f t="shared" si="14"/>
        <v>39092251.127548434</v>
      </c>
      <c r="K29" s="52">
        <f t="shared" si="15"/>
        <v>323038092.11535913</v>
      </c>
      <c r="L29" s="38"/>
      <c r="M29" s="26">
        <f t="shared" si="16"/>
        <v>99500001.063999996</v>
      </c>
      <c r="N29" s="19">
        <f t="shared" si="3"/>
        <v>663333.34042666666</v>
      </c>
      <c r="O29" s="53">
        <f t="shared" si="17"/>
        <v>630166.67340533331</v>
      </c>
      <c r="P29" s="19">
        <f t="shared" si="18"/>
        <v>33166.667021333356</v>
      </c>
      <c r="Q29" s="19">
        <f t="shared" si="4"/>
        <v>0</v>
      </c>
      <c r="R29" s="19">
        <f t="shared" si="19"/>
        <v>630166.67340533331</v>
      </c>
      <c r="S29" s="37">
        <f t="shared" si="20"/>
        <v>99500001.063999996</v>
      </c>
      <c r="T29" s="38"/>
      <c r="U29" s="26">
        <f t="shared" si="21"/>
        <v>49750000.531999998</v>
      </c>
      <c r="V29" s="54">
        <f t="shared" si="22"/>
        <v>196927.08543916667</v>
      </c>
      <c r="W29" s="19">
        <f t="shared" si="23"/>
        <v>0</v>
      </c>
      <c r="X29" s="19">
        <f t="shared" si="24"/>
        <v>196927.08543916667</v>
      </c>
      <c r="Y29" s="37">
        <f t="shared" si="5"/>
        <v>49750000.531999998</v>
      </c>
      <c r="Z29" s="38"/>
      <c r="AA29" s="26">
        <f>'Collateral Pool'!K29*'Bonds and Waterfalls'!$E$3/12</f>
        <v>2517859.5920968708</v>
      </c>
      <c r="AB29" s="52">
        <f t="shared" si="25"/>
        <v>2517859.5920968708</v>
      </c>
      <c r="AC29" s="38"/>
      <c r="AD29" s="26">
        <f t="shared" si="26"/>
        <v>207291.66888333333</v>
      </c>
      <c r="AE29" s="88">
        <f t="shared" si="6"/>
        <v>1052632.6942131622</v>
      </c>
      <c r="AF29" s="38"/>
      <c r="AG29" s="26">
        <f>'Collateral Pool'!O29+'Collateral Pool'!P29+'Collateral Pool'!R29</f>
        <v>36043872.539691441</v>
      </c>
      <c r="AH29" s="19">
        <f>'Collateral Pool'!Q29</f>
        <v>6541902.446824071</v>
      </c>
      <c r="AI29" s="54">
        <f t="shared" si="7"/>
        <v>2517859.5920968708</v>
      </c>
      <c r="AJ29" s="54">
        <f t="shared" si="27"/>
        <v>2100785.1512040389</v>
      </c>
      <c r="AK29" s="19">
        <f t="shared" si="28"/>
        <v>663333.34042666666</v>
      </c>
      <c r="AL29" s="19">
        <f t="shared" si="8"/>
        <v>207291.66888333333</v>
      </c>
      <c r="AM29" s="19">
        <f t="shared" si="9"/>
        <v>37096505.2339046</v>
      </c>
      <c r="AN29" s="19">
        <f t="shared" si="10"/>
        <v>0</v>
      </c>
      <c r="AO29" s="37">
        <f t="shared" si="29"/>
        <v>0</v>
      </c>
      <c r="AQ29" s="7">
        <f t="shared" si="30"/>
        <v>5.8284113309152848E-2</v>
      </c>
    </row>
    <row r="30" spans="1:43" s="7" customFormat="1">
      <c r="A30" s="4"/>
      <c r="B30" s="35">
        <f t="shared" si="31"/>
        <v>15</v>
      </c>
      <c r="C30" s="36">
        <f t="shared" si="0"/>
        <v>42460</v>
      </c>
      <c r="D30" s="32"/>
      <c r="E30" s="26">
        <f t="shared" si="11"/>
        <v>323038092.11535913</v>
      </c>
      <c r="F30" s="19">
        <f t="shared" si="1"/>
        <v>1884388.8706729284</v>
      </c>
      <c r="G30" s="19">
        <f t="shared" si="12"/>
        <v>1790169.427139282</v>
      </c>
      <c r="H30" s="19">
        <f t="shared" si="13"/>
        <v>94219.443533646408</v>
      </c>
      <c r="I30" s="19">
        <f t="shared" si="2"/>
        <v>37070986.720234632</v>
      </c>
      <c r="J30" s="19">
        <f t="shared" si="14"/>
        <v>38861156.147373915</v>
      </c>
      <c r="K30" s="52">
        <f t="shared" si="15"/>
        <v>285967105.3951245</v>
      </c>
      <c r="L30" s="38"/>
      <c r="M30" s="26">
        <f t="shared" si="16"/>
        <v>99500001.063999996</v>
      </c>
      <c r="N30" s="19">
        <f t="shared" si="3"/>
        <v>663333.34042666666</v>
      </c>
      <c r="O30" s="53">
        <f t="shared" si="17"/>
        <v>630166.67340533331</v>
      </c>
      <c r="P30" s="19">
        <f t="shared" si="18"/>
        <v>33166.667021333356</v>
      </c>
      <c r="Q30" s="19">
        <f t="shared" si="4"/>
        <v>0</v>
      </c>
      <c r="R30" s="19">
        <f t="shared" si="19"/>
        <v>630166.67340533331</v>
      </c>
      <c r="S30" s="37">
        <f t="shared" si="20"/>
        <v>99500001.063999996</v>
      </c>
      <c r="T30" s="38"/>
      <c r="U30" s="26">
        <f t="shared" si="21"/>
        <v>49750000.531999998</v>
      </c>
      <c r="V30" s="54">
        <f t="shared" si="22"/>
        <v>196927.08543916667</v>
      </c>
      <c r="W30" s="19">
        <f t="shared" si="23"/>
        <v>0</v>
      </c>
      <c r="X30" s="19">
        <f t="shared" si="24"/>
        <v>196927.08543916667</v>
      </c>
      <c r="Y30" s="37">
        <f t="shared" si="5"/>
        <v>49750000.531999998</v>
      </c>
      <c r="Z30" s="38"/>
      <c r="AA30" s="26">
        <f>'Collateral Pool'!K30*'Bonds and Waterfalls'!$E$3/12</f>
        <v>2342750.590389675</v>
      </c>
      <c r="AB30" s="52">
        <f t="shared" si="25"/>
        <v>2342750.590389675</v>
      </c>
      <c r="AC30" s="38"/>
      <c r="AD30" s="26">
        <f t="shared" si="26"/>
        <v>207291.66888333333</v>
      </c>
      <c r="AE30" s="88">
        <f t="shared" si="6"/>
        <v>989404.18558325805</v>
      </c>
      <c r="AF30" s="38"/>
      <c r="AG30" s="26">
        <f>'Collateral Pool'!O30+'Collateral Pool'!P30+'Collateral Pool'!R30</f>
        <v>36081582.534651376</v>
      </c>
      <c r="AH30" s="19">
        <f>'Collateral Pool'!Q30</f>
        <v>6087168.6559558613</v>
      </c>
      <c r="AI30" s="54">
        <f t="shared" si="7"/>
        <v>2342750.590389675</v>
      </c>
      <c r="AJ30" s="54">
        <f t="shared" si="27"/>
        <v>1884388.8706729284</v>
      </c>
      <c r="AK30" s="19">
        <f t="shared" si="28"/>
        <v>663333.34042666666</v>
      </c>
      <c r="AL30" s="19">
        <f t="shared" si="8"/>
        <v>207291.66888333333</v>
      </c>
      <c r="AM30" s="19">
        <f t="shared" si="9"/>
        <v>37070986.720234632</v>
      </c>
      <c r="AN30" s="19">
        <f t="shared" si="10"/>
        <v>0</v>
      </c>
      <c r="AO30" s="37">
        <f t="shared" si="29"/>
        <v>0</v>
      </c>
      <c r="AQ30" s="7">
        <f t="shared" si="30"/>
        <v>5.2225782194093989E-2</v>
      </c>
    </row>
    <row r="31" spans="1:43" s="7" customFormat="1">
      <c r="A31" s="4"/>
      <c r="B31" s="35">
        <f t="shared" si="31"/>
        <v>16</v>
      </c>
      <c r="C31" s="36">
        <f t="shared" si="0"/>
        <v>42490</v>
      </c>
      <c r="D31" s="32"/>
      <c r="E31" s="26">
        <f t="shared" si="11"/>
        <v>285967105.3951245</v>
      </c>
      <c r="F31" s="19">
        <f t="shared" si="1"/>
        <v>1668141.4481382265</v>
      </c>
      <c r="G31" s="19">
        <f t="shared" si="12"/>
        <v>1584734.3757313152</v>
      </c>
      <c r="H31" s="19">
        <f t="shared" si="13"/>
        <v>83407.072406911291</v>
      </c>
      <c r="I31" s="19">
        <f t="shared" si="2"/>
        <v>37043955.522259921</v>
      </c>
      <c r="J31" s="19">
        <f t="shared" si="14"/>
        <v>38628689.897991233</v>
      </c>
      <c r="K31" s="52">
        <f t="shared" si="15"/>
        <v>248923149.87286457</v>
      </c>
      <c r="L31" s="38"/>
      <c r="M31" s="26">
        <f t="shared" si="16"/>
        <v>99500001.063999996</v>
      </c>
      <c r="N31" s="19">
        <f t="shared" si="3"/>
        <v>663333.34042666666</v>
      </c>
      <c r="O31" s="53">
        <f t="shared" si="17"/>
        <v>630166.67340533331</v>
      </c>
      <c r="P31" s="19">
        <f t="shared" si="18"/>
        <v>33166.667021333356</v>
      </c>
      <c r="Q31" s="19">
        <f t="shared" si="4"/>
        <v>0</v>
      </c>
      <c r="R31" s="19">
        <f t="shared" si="19"/>
        <v>630166.67340533331</v>
      </c>
      <c r="S31" s="37">
        <f t="shared" si="20"/>
        <v>99500001.063999996</v>
      </c>
      <c r="T31" s="38"/>
      <c r="U31" s="26">
        <f t="shared" si="21"/>
        <v>49750000.531999998</v>
      </c>
      <c r="V31" s="54">
        <f t="shared" si="22"/>
        <v>196927.08543916667</v>
      </c>
      <c r="W31" s="19">
        <f t="shared" si="23"/>
        <v>0</v>
      </c>
      <c r="X31" s="19">
        <f t="shared" si="24"/>
        <v>196927.08543916667</v>
      </c>
      <c r="Y31" s="37">
        <f t="shared" si="5"/>
        <v>49750000.531999998</v>
      </c>
      <c r="Z31" s="38"/>
      <c r="AA31" s="26">
        <f>'Collateral Pool'!K31*'Bonds and Waterfalls'!$E$3/12</f>
        <v>2167459.9522067555</v>
      </c>
      <c r="AB31" s="52">
        <f t="shared" si="25"/>
        <v>2167459.9522067555</v>
      </c>
      <c r="AC31" s="38"/>
      <c r="AD31" s="26">
        <f t="shared" si="26"/>
        <v>207291.66888333333</v>
      </c>
      <c r="AE31" s="88">
        <f t="shared" si="6"/>
        <v>925633.46573529951</v>
      </c>
      <c r="AF31" s="38"/>
      <c r="AG31" s="26">
        <f>'Collateral Pool'!O31+'Collateral Pool'!P31+'Collateral Pool'!R31</f>
        <v>36118322.056524619</v>
      </c>
      <c r="AH31" s="19">
        <f>'Collateral Pool'!Q31</f>
        <v>5631859.875390281</v>
      </c>
      <c r="AI31" s="54">
        <f t="shared" si="7"/>
        <v>2167459.9522067555</v>
      </c>
      <c r="AJ31" s="54">
        <f t="shared" si="27"/>
        <v>1668141.4481382265</v>
      </c>
      <c r="AK31" s="19">
        <f t="shared" si="28"/>
        <v>663333.34042666666</v>
      </c>
      <c r="AL31" s="19">
        <f t="shared" si="8"/>
        <v>207291.66888333333</v>
      </c>
      <c r="AM31" s="19">
        <f t="shared" si="9"/>
        <v>37043955.522259921</v>
      </c>
      <c r="AN31" s="19">
        <f t="shared" si="10"/>
        <v>0</v>
      </c>
      <c r="AO31" s="37">
        <f t="shared" si="29"/>
        <v>0</v>
      </c>
      <c r="AQ31" s="7">
        <f t="shared" si="30"/>
        <v>4.6185463586254388E-2</v>
      </c>
    </row>
    <row r="32" spans="1:43" s="7" customFormat="1">
      <c r="A32" s="4"/>
      <c r="B32" s="35">
        <f t="shared" si="31"/>
        <v>17</v>
      </c>
      <c r="C32" s="36">
        <f t="shared" si="0"/>
        <v>42521</v>
      </c>
      <c r="D32" s="32"/>
      <c r="E32" s="26">
        <f t="shared" si="11"/>
        <v>248923149.87286457</v>
      </c>
      <c r="F32" s="19">
        <f t="shared" si="1"/>
        <v>1452051.7075917104</v>
      </c>
      <c r="G32" s="19">
        <f t="shared" si="12"/>
        <v>1379449.1222121248</v>
      </c>
      <c r="H32" s="19">
        <f t="shared" si="13"/>
        <v>72602.585379585624</v>
      </c>
      <c r="I32" s="19">
        <f t="shared" si="2"/>
        <v>37014964.403729469</v>
      </c>
      <c r="J32" s="19">
        <f t="shared" si="14"/>
        <v>38394413.525941595</v>
      </c>
      <c r="K32" s="52">
        <f t="shared" si="15"/>
        <v>211908185.46913511</v>
      </c>
      <c r="L32" s="38"/>
      <c r="M32" s="26">
        <f t="shared" si="16"/>
        <v>99500001.063999996</v>
      </c>
      <c r="N32" s="19">
        <f t="shared" si="3"/>
        <v>663333.34042666666</v>
      </c>
      <c r="O32" s="53">
        <f t="shared" si="17"/>
        <v>630166.67340533331</v>
      </c>
      <c r="P32" s="19">
        <f t="shared" si="18"/>
        <v>33166.667021333356</v>
      </c>
      <c r="Q32" s="19">
        <f t="shared" si="4"/>
        <v>0</v>
      </c>
      <c r="R32" s="19">
        <f t="shared" si="19"/>
        <v>630166.67340533331</v>
      </c>
      <c r="S32" s="37">
        <f t="shared" si="20"/>
        <v>99500001.063999996</v>
      </c>
      <c r="T32" s="38"/>
      <c r="U32" s="26">
        <f t="shared" si="21"/>
        <v>49750000.531999998</v>
      </c>
      <c r="V32" s="54">
        <f t="shared" si="22"/>
        <v>196927.08543916667</v>
      </c>
      <c r="W32" s="19">
        <f t="shared" si="23"/>
        <v>0</v>
      </c>
      <c r="X32" s="19">
        <f t="shared" si="24"/>
        <v>196927.08543916667</v>
      </c>
      <c r="Y32" s="37">
        <f t="shared" si="5"/>
        <v>49750000.531999998</v>
      </c>
      <c r="Z32" s="38"/>
      <c r="AA32" s="26">
        <f>'Collateral Pool'!K32*'Bonds and Waterfalls'!$E$3/12</f>
        <v>1991992.35199348</v>
      </c>
      <c r="AB32" s="52">
        <f t="shared" si="25"/>
        <v>1991992.35199348</v>
      </c>
      <c r="AC32" s="38"/>
      <c r="AD32" s="26">
        <f t="shared" si="26"/>
        <v>207291.66888333333</v>
      </c>
      <c r="AE32" s="88">
        <f t="shared" si="6"/>
        <v>861318.21001408808</v>
      </c>
      <c r="AF32" s="38"/>
      <c r="AG32" s="26">
        <f>'Collateral Pool'!O32+'Collateral Pool'!P32+'Collateral Pool'!R32</f>
        <v>36153646.193715379</v>
      </c>
      <c r="AH32" s="19">
        <f>'Collateral Pool'!Q32</f>
        <v>5175987.2789092781</v>
      </c>
      <c r="AI32" s="54">
        <f t="shared" si="7"/>
        <v>1991992.35199348</v>
      </c>
      <c r="AJ32" s="54">
        <f t="shared" si="27"/>
        <v>1452051.7075917104</v>
      </c>
      <c r="AK32" s="19">
        <f t="shared" si="28"/>
        <v>663333.34042666666</v>
      </c>
      <c r="AL32" s="19">
        <f t="shared" si="8"/>
        <v>207291.66888333333</v>
      </c>
      <c r="AM32" s="19">
        <f t="shared" si="9"/>
        <v>37014964.403729469</v>
      </c>
      <c r="AN32" s="19">
        <f t="shared" si="10"/>
        <v>0</v>
      </c>
      <c r="AO32" s="37">
        <f t="shared" si="29"/>
        <v>0</v>
      </c>
      <c r="AQ32" s="7">
        <f t="shared" si="30"/>
        <v>4.0163354473611072E-2</v>
      </c>
    </row>
    <row r="33" spans="1:43" s="7" customFormat="1">
      <c r="A33" s="4"/>
      <c r="B33" s="35">
        <f t="shared" si="31"/>
        <v>18</v>
      </c>
      <c r="C33" s="36">
        <f t="shared" si="0"/>
        <v>42551</v>
      </c>
      <c r="D33" s="32"/>
      <c r="E33" s="26">
        <f t="shared" si="11"/>
        <v>211908185.46913511</v>
      </c>
      <c r="F33" s="19">
        <f t="shared" si="1"/>
        <v>1236131.0819032884</v>
      </c>
      <c r="G33" s="19">
        <f t="shared" si="12"/>
        <v>1174324.527808124</v>
      </c>
      <c r="H33" s="19">
        <f t="shared" si="13"/>
        <v>61806.554095164407</v>
      </c>
      <c r="I33" s="19">
        <f t="shared" si="2"/>
        <v>36983436.508516498</v>
      </c>
      <c r="J33" s="19">
        <f t="shared" si="14"/>
        <v>38157761.03632462</v>
      </c>
      <c r="K33" s="52">
        <f t="shared" si="15"/>
        <v>174924748.96061862</v>
      </c>
      <c r="L33" s="38"/>
      <c r="M33" s="26">
        <f t="shared" si="16"/>
        <v>99500001.063999996</v>
      </c>
      <c r="N33" s="19">
        <f t="shared" si="3"/>
        <v>663333.34042666666</v>
      </c>
      <c r="O33" s="53">
        <f t="shared" si="17"/>
        <v>630166.67340533331</v>
      </c>
      <c r="P33" s="19">
        <f t="shared" si="18"/>
        <v>33166.667021333356</v>
      </c>
      <c r="Q33" s="19">
        <f t="shared" si="4"/>
        <v>0</v>
      </c>
      <c r="R33" s="19">
        <f t="shared" si="19"/>
        <v>630166.67340533331</v>
      </c>
      <c r="S33" s="37">
        <f t="shared" si="20"/>
        <v>99500001.063999996</v>
      </c>
      <c r="T33" s="38"/>
      <c r="U33" s="26">
        <f t="shared" si="21"/>
        <v>49750000.531999998</v>
      </c>
      <c r="V33" s="54">
        <f t="shared" si="22"/>
        <v>196927.08543916667</v>
      </c>
      <c r="W33" s="19">
        <f t="shared" si="23"/>
        <v>0</v>
      </c>
      <c r="X33" s="19">
        <f t="shared" si="24"/>
        <v>196927.08543916667</v>
      </c>
      <c r="Y33" s="37">
        <f t="shared" si="5"/>
        <v>49750000.531999998</v>
      </c>
      <c r="Z33" s="38"/>
      <c r="AA33" s="26">
        <f>'Collateral Pool'!K33*'Bonds and Waterfalls'!$E$3/12</f>
        <v>1816354.6071860688</v>
      </c>
      <c r="AB33" s="52">
        <f t="shared" si="25"/>
        <v>1816354.6071860688</v>
      </c>
      <c r="AC33" s="38"/>
      <c r="AD33" s="26">
        <f t="shared" si="26"/>
        <v>207291.66888333333</v>
      </c>
      <c r="AE33" s="88">
        <f t="shared" si="6"/>
        <v>796456.92497472325</v>
      </c>
      <c r="AF33" s="38"/>
      <c r="AG33" s="26">
        <f>'Collateral Pool'!O33+'Collateral Pool'!P33+'Collateral Pool'!R33</f>
        <v>36186979.583541773</v>
      </c>
      <c r="AH33" s="19">
        <f>'Collateral Pool'!Q33</f>
        <v>4719567.6233740803</v>
      </c>
      <c r="AI33" s="54">
        <f t="shared" si="7"/>
        <v>1816354.6071860688</v>
      </c>
      <c r="AJ33" s="54">
        <f t="shared" si="27"/>
        <v>1236131.0819032884</v>
      </c>
      <c r="AK33" s="19">
        <f t="shared" si="28"/>
        <v>663333.34042666666</v>
      </c>
      <c r="AL33" s="19">
        <f t="shared" si="8"/>
        <v>207291.66888333333</v>
      </c>
      <c r="AM33" s="19">
        <f t="shared" si="9"/>
        <v>36983436.508516498</v>
      </c>
      <c r="AN33" s="19">
        <f t="shared" si="10"/>
        <v>0</v>
      </c>
      <c r="AO33" s="37">
        <f t="shared" si="29"/>
        <v>0</v>
      </c>
      <c r="AQ33" s="7">
        <f t="shared" si="30"/>
        <v>3.4159553964694361E-2</v>
      </c>
    </row>
    <row r="34" spans="1:43" s="7" customFormat="1">
      <c r="A34" s="4"/>
      <c r="B34" s="35">
        <f t="shared" si="31"/>
        <v>19</v>
      </c>
      <c r="C34" s="36">
        <f t="shared" si="0"/>
        <v>42582</v>
      </c>
      <c r="D34" s="32"/>
      <c r="E34" s="26">
        <f t="shared" si="11"/>
        <v>174924748.96061862</v>
      </c>
      <c r="F34" s="19">
        <f t="shared" si="1"/>
        <v>1020394.368936942</v>
      </c>
      <c r="G34" s="19">
        <f t="shared" si="12"/>
        <v>969374.65049009479</v>
      </c>
      <c r="H34" s="19">
        <f t="shared" si="13"/>
        <v>51019.718446847168</v>
      </c>
      <c r="I34" s="19">
        <f t="shared" si="2"/>
        <v>36894170.843336813</v>
      </c>
      <c r="J34" s="19">
        <f t="shared" si="14"/>
        <v>37863545.493826911</v>
      </c>
      <c r="K34" s="52">
        <f t="shared" si="15"/>
        <v>138030578.11728179</v>
      </c>
      <c r="L34" s="38"/>
      <c r="M34" s="26">
        <f t="shared" si="16"/>
        <v>99500001.063999996</v>
      </c>
      <c r="N34" s="19">
        <f t="shared" si="3"/>
        <v>663333.34042666666</v>
      </c>
      <c r="O34" s="53">
        <f t="shared" si="17"/>
        <v>630166.67340533331</v>
      </c>
      <c r="P34" s="19">
        <f t="shared" si="18"/>
        <v>33166.667021333356</v>
      </c>
      <c r="Q34" s="19">
        <f t="shared" si="4"/>
        <v>0</v>
      </c>
      <c r="R34" s="19">
        <f t="shared" si="19"/>
        <v>630166.67340533331</v>
      </c>
      <c r="S34" s="37">
        <f t="shared" si="20"/>
        <v>99500001.063999996</v>
      </c>
      <c r="T34" s="38"/>
      <c r="U34" s="26">
        <f t="shared" si="21"/>
        <v>49750000.531999998</v>
      </c>
      <c r="V34" s="54">
        <f t="shared" si="22"/>
        <v>196927.08543916667</v>
      </c>
      <c r="W34" s="19">
        <f t="shared" si="23"/>
        <v>0</v>
      </c>
      <c r="X34" s="19">
        <f t="shared" si="24"/>
        <v>196927.08543916667</v>
      </c>
      <c r="Y34" s="37">
        <f t="shared" si="5"/>
        <v>49750000.531999998</v>
      </c>
      <c r="Z34" s="38"/>
      <c r="AA34" s="26">
        <f>'Collateral Pool'!K34*'Bonds and Waterfalls'!$E$3/12</f>
        <v>1640556.3065509938</v>
      </c>
      <c r="AB34" s="52">
        <f t="shared" si="25"/>
        <v>1640556.3065509938</v>
      </c>
      <c r="AC34" s="38"/>
      <c r="AD34" s="26">
        <f t="shared" si="26"/>
        <v>207291.66888333333</v>
      </c>
      <c r="AE34" s="88">
        <f t="shared" si="6"/>
        <v>736244.05922572454</v>
      </c>
      <c r="AF34" s="38"/>
      <c r="AG34" s="26">
        <f>'Collateral Pool'!O34+'Collateral Pool'!P34+'Collateral Pool'!R34</f>
        <v>36157926.78411109</v>
      </c>
      <c r="AH34" s="19">
        <f>'Collateral Pool'!Q34</f>
        <v>4267819.7440236602</v>
      </c>
      <c r="AI34" s="54">
        <f t="shared" si="7"/>
        <v>1640556.3065509938</v>
      </c>
      <c r="AJ34" s="54">
        <f t="shared" si="27"/>
        <v>1020394.368936942</v>
      </c>
      <c r="AK34" s="19">
        <f t="shared" si="28"/>
        <v>663333.34042666666</v>
      </c>
      <c r="AL34" s="19">
        <f t="shared" si="8"/>
        <v>207291.66888333333</v>
      </c>
      <c r="AM34" s="19">
        <f t="shared" si="9"/>
        <v>36894170.843336813</v>
      </c>
      <c r="AN34" s="19">
        <f t="shared" si="10"/>
        <v>0</v>
      </c>
      <c r="AO34" s="37">
        <f t="shared" si="29"/>
        <v>0</v>
      </c>
      <c r="AQ34" s="7">
        <f t="shared" si="30"/>
        <v>2.8220488830275933E-2</v>
      </c>
    </row>
    <row r="35" spans="1:43" s="7" customFormat="1">
      <c r="A35" s="4"/>
      <c r="B35" s="35">
        <f t="shared" si="31"/>
        <v>20</v>
      </c>
      <c r="C35" s="36">
        <f t="shared" si="0"/>
        <v>42613</v>
      </c>
      <c r="D35" s="32"/>
      <c r="E35" s="26">
        <f t="shared" si="11"/>
        <v>138030578.11728179</v>
      </c>
      <c r="F35" s="19">
        <f t="shared" si="1"/>
        <v>805178.37235081056</v>
      </c>
      <c r="G35" s="19">
        <f t="shared" si="12"/>
        <v>764919.45373326994</v>
      </c>
      <c r="H35" s="19">
        <f t="shared" si="13"/>
        <v>40258.918617540621</v>
      </c>
      <c r="I35" s="19">
        <f t="shared" si="2"/>
        <v>36906986.906831183</v>
      </c>
      <c r="J35" s="19">
        <f t="shared" si="14"/>
        <v>37671906.360564455</v>
      </c>
      <c r="K35" s="52">
        <f t="shared" si="15"/>
        <v>101123591.21045062</v>
      </c>
      <c r="L35" s="38"/>
      <c r="M35" s="26">
        <f t="shared" si="16"/>
        <v>99500001.063999996</v>
      </c>
      <c r="N35" s="19">
        <f t="shared" si="3"/>
        <v>663333.34042666666</v>
      </c>
      <c r="O35" s="53">
        <f t="shared" si="17"/>
        <v>630166.67340533331</v>
      </c>
      <c r="P35" s="19">
        <f t="shared" si="18"/>
        <v>33166.667021333356</v>
      </c>
      <c r="Q35" s="19">
        <f t="shared" si="4"/>
        <v>0</v>
      </c>
      <c r="R35" s="19">
        <f t="shared" si="19"/>
        <v>630166.67340533331</v>
      </c>
      <c r="S35" s="37">
        <f t="shared" si="20"/>
        <v>99500001.063999996</v>
      </c>
      <c r="T35" s="38"/>
      <c r="U35" s="26">
        <f t="shared" si="21"/>
        <v>49750000.531999998</v>
      </c>
      <c r="V35" s="54">
        <f t="shared" si="22"/>
        <v>196927.08543916667</v>
      </c>
      <c r="W35" s="19">
        <f t="shared" si="23"/>
        <v>0</v>
      </c>
      <c r="X35" s="19">
        <f t="shared" si="24"/>
        <v>196927.08543916667</v>
      </c>
      <c r="Y35" s="37">
        <f t="shared" si="5"/>
        <v>49750000.531999998</v>
      </c>
      <c r="Z35" s="38"/>
      <c r="AA35" s="26">
        <f>'Collateral Pool'!K35*'Bonds and Waterfalls'!$E$3/12</f>
        <v>1466395.6258741922</v>
      </c>
      <c r="AB35" s="52">
        <f t="shared" si="25"/>
        <v>1466395.6258741922</v>
      </c>
      <c r="AC35" s="38"/>
      <c r="AD35" s="26">
        <f t="shared" si="26"/>
        <v>207291.66888333333</v>
      </c>
      <c r="AE35" s="88">
        <f t="shared" si="6"/>
        <v>672832.57008629804</v>
      </c>
      <c r="AF35" s="38"/>
      <c r="AG35" s="26">
        <f>'Collateral Pool'!O35+'Collateral Pool'!P35+'Collateral Pool'!R35</f>
        <v>36234154.336744882</v>
      </c>
      <c r="AH35" s="19">
        <f>'Collateral Pool'!Q35</f>
        <v>3815031.5776213007</v>
      </c>
      <c r="AI35" s="54">
        <f t="shared" si="7"/>
        <v>1466395.6258741922</v>
      </c>
      <c r="AJ35" s="54">
        <f t="shared" si="27"/>
        <v>805178.37235081056</v>
      </c>
      <c r="AK35" s="19">
        <f t="shared" si="28"/>
        <v>663333.34042666666</v>
      </c>
      <c r="AL35" s="19">
        <f t="shared" si="8"/>
        <v>207291.66888333333</v>
      </c>
      <c r="AM35" s="19">
        <f t="shared" si="9"/>
        <v>36906986.906831183</v>
      </c>
      <c r="AN35" s="19">
        <f t="shared" si="10"/>
        <v>0</v>
      </c>
      <c r="AO35" s="37">
        <f t="shared" si="29"/>
        <v>0</v>
      </c>
      <c r="AQ35" s="7">
        <f t="shared" si="30"/>
        <v>2.2221530682566062E-2</v>
      </c>
    </row>
    <row r="36" spans="1:43" s="7" customFormat="1">
      <c r="A36" s="4"/>
      <c r="B36" s="35">
        <f t="shared" si="31"/>
        <v>21</v>
      </c>
      <c r="C36" s="36">
        <f t="shared" si="0"/>
        <v>42643</v>
      </c>
      <c r="D36" s="32"/>
      <c r="E36" s="26">
        <f t="shared" si="11"/>
        <v>101123591.21045062</v>
      </c>
      <c r="F36" s="19">
        <f t="shared" si="1"/>
        <v>589887.61539429531</v>
      </c>
      <c r="G36" s="19">
        <f t="shared" si="12"/>
        <v>560393.23462458048</v>
      </c>
      <c r="H36" s="19">
        <f t="shared" si="13"/>
        <v>29494.38076971483</v>
      </c>
      <c r="I36" s="19">
        <f t="shared" si="2"/>
        <v>36920825.98101563</v>
      </c>
      <c r="J36" s="19">
        <f t="shared" si="14"/>
        <v>37481219.21564021</v>
      </c>
      <c r="K36" s="52">
        <f t="shared" si="15"/>
        <v>64202765.229434989</v>
      </c>
      <c r="L36" s="38"/>
      <c r="M36" s="26">
        <f t="shared" si="16"/>
        <v>99500001.063999996</v>
      </c>
      <c r="N36" s="19">
        <f t="shared" si="3"/>
        <v>663333.34042666666</v>
      </c>
      <c r="O36" s="53">
        <f t="shared" si="17"/>
        <v>630166.67340533331</v>
      </c>
      <c r="P36" s="19">
        <f t="shared" si="18"/>
        <v>33166.667021333356</v>
      </c>
      <c r="Q36" s="19">
        <f t="shared" si="4"/>
        <v>0</v>
      </c>
      <c r="R36" s="19">
        <f t="shared" si="19"/>
        <v>630166.67340533331</v>
      </c>
      <c r="S36" s="37">
        <f t="shared" si="20"/>
        <v>99500001.063999996</v>
      </c>
      <c r="T36" s="38"/>
      <c r="U36" s="26">
        <f t="shared" si="21"/>
        <v>49750000.531999998</v>
      </c>
      <c r="V36" s="54">
        <f t="shared" si="22"/>
        <v>196927.08543916667</v>
      </c>
      <c r="W36" s="19">
        <f t="shared" si="23"/>
        <v>0</v>
      </c>
      <c r="X36" s="19">
        <f t="shared" si="24"/>
        <v>196927.08543916667</v>
      </c>
      <c r="Y36" s="37">
        <f t="shared" si="5"/>
        <v>49750000.531999998</v>
      </c>
      <c r="Z36" s="38"/>
      <c r="AA36" s="26">
        <f>'Collateral Pool'!K36*'Bonds and Waterfalls'!$E$3/12</f>
        <v>1291867.7824855375</v>
      </c>
      <c r="AB36" s="52">
        <f t="shared" si="25"/>
        <v>1291867.7824855375</v>
      </c>
      <c r="AC36" s="38"/>
      <c r="AD36" s="26">
        <f t="shared" si="26"/>
        <v>207291.66888333333</v>
      </c>
      <c r="AE36" s="88">
        <f t="shared" si="6"/>
        <v>608801.03930298472</v>
      </c>
      <c r="AF36" s="38"/>
      <c r="AG36" s="26">
        <f>'Collateral Pool'!O36+'Collateral Pool'!P36+'Collateral Pool'!R36</f>
        <v>36312024.941712648</v>
      </c>
      <c r="AH36" s="19">
        <f>'Collateral Pool'!Q36</f>
        <v>3361181.4464928177</v>
      </c>
      <c r="AI36" s="54">
        <f t="shared" si="7"/>
        <v>1291867.7824855375</v>
      </c>
      <c r="AJ36" s="54">
        <f t="shared" si="27"/>
        <v>589887.61539429531</v>
      </c>
      <c r="AK36" s="19">
        <f t="shared" si="28"/>
        <v>663333.34042666666</v>
      </c>
      <c r="AL36" s="19">
        <f t="shared" si="8"/>
        <v>207291.66888333333</v>
      </c>
      <c r="AM36" s="19">
        <f t="shared" si="9"/>
        <v>36920825.98101563</v>
      </c>
      <c r="AN36" s="19">
        <f t="shared" si="10"/>
        <v>0</v>
      </c>
      <c r="AO36" s="37">
        <f t="shared" si="29"/>
        <v>0</v>
      </c>
      <c r="AQ36" s="7">
        <f t="shared" si="30"/>
        <v>1.6244966132876681E-2</v>
      </c>
    </row>
    <row r="37" spans="1:43" s="7" customFormat="1">
      <c r="A37" s="4"/>
      <c r="B37" s="35">
        <f t="shared" si="31"/>
        <v>22</v>
      </c>
      <c r="C37" s="36">
        <f t="shared" si="0"/>
        <v>42674</v>
      </c>
      <c r="D37" s="32"/>
      <c r="E37" s="26">
        <f t="shared" si="11"/>
        <v>64202765.229434989</v>
      </c>
      <c r="F37" s="19">
        <f t="shared" si="1"/>
        <v>374516.13050503749</v>
      </c>
      <c r="G37" s="19">
        <f t="shared" si="12"/>
        <v>355790.32397978561</v>
      </c>
      <c r="H37" s="19">
        <f t="shared" si="13"/>
        <v>18725.806525251886</v>
      </c>
      <c r="I37" s="19">
        <f t="shared" si="2"/>
        <v>36935688.785545841</v>
      </c>
      <c r="J37" s="19">
        <f t="shared" si="14"/>
        <v>37291479.109525628</v>
      </c>
      <c r="K37" s="52">
        <f t="shared" si="15"/>
        <v>27267076.443889149</v>
      </c>
      <c r="L37" s="38"/>
      <c r="M37" s="26">
        <f t="shared" si="16"/>
        <v>99500001.063999996</v>
      </c>
      <c r="N37" s="19">
        <f t="shared" si="3"/>
        <v>663333.34042666666</v>
      </c>
      <c r="O37" s="53">
        <f t="shared" si="17"/>
        <v>630166.67340533331</v>
      </c>
      <c r="P37" s="19">
        <f t="shared" si="18"/>
        <v>33166.667021333356</v>
      </c>
      <c r="Q37" s="19">
        <f t="shared" si="4"/>
        <v>0</v>
      </c>
      <c r="R37" s="19">
        <f t="shared" si="19"/>
        <v>630166.67340533331</v>
      </c>
      <c r="S37" s="37">
        <f t="shared" si="20"/>
        <v>99500001.063999996</v>
      </c>
      <c r="T37" s="38"/>
      <c r="U37" s="26">
        <f t="shared" si="21"/>
        <v>49750000.531999998</v>
      </c>
      <c r="V37" s="54">
        <f t="shared" si="22"/>
        <v>196927.08543916667</v>
      </c>
      <c r="W37" s="19">
        <f t="shared" si="23"/>
        <v>0</v>
      </c>
      <c r="X37" s="19">
        <f t="shared" si="24"/>
        <v>196927.08543916667</v>
      </c>
      <c r="Y37" s="37">
        <f t="shared" si="5"/>
        <v>49750000.531999998</v>
      </c>
      <c r="Z37" s="38"/>
      <c r="AA37" s="26">
        <f>'Collateral Pool'!K37*'Bonds and Waterfalls'!$E$3/12</f>
        <v>1116964.8623496217</v>
      </c>
      <c r="AB37" s="52">
        <f t="shared" si="25"/>
        <v>1116964.8623496217</v>
      </c>
      <c r="AC37" s="38"/>
      <c r="AD37" s="26">
        <f t="shared" si="26"/>
        <v>207291.66888333333</v>
      </c>
      <c r="AE37" s="88">
        <f t="shared" si="6"/>
        <v>544141.54742405936</v>
      </c>
      <c r="AF37" s="38"/>
      <c r="AG37" s="26">
        <f>'Collateral Pool'!O37+'Collateral Pool'!P37+'Collateral Pool'!R37</f>
        <v>36391547.238121785</v>
      </c>
      <c r="AH37" s="19">
        <f>'Collateral Pool'!Q37</f>
        <v>2906247.5495887189</v>
      </c>
      <c r="AI37" s="54">
        <f t="shared" si="7"/>
        <v>1116964.8623496217</v>
      </c>
      <c r="AJ37" s="54">
        <f t="shared" si="27"/>
        <v>374516.13050503749</v>
      </c>
      <c r="AK37" s="19">
        <f t="shared" si="28"/>
        <v>663333.34042666666</v>
      </c>
      <c r="AL37" s="19">
        <f t="shared" si="8"/>
        <v>207291.66888333333</v>
      </c>
      <c r="AM37" s="19">
        <f t="shared" si="9"/>
        <v>36935688.785545841</v>
      </c>
      <c r="AN37" s="19">
        <f t="shared" si="10"/>
        <v>0</v>
      </c>
      <c r="AO37" s="37">
        <f t="shared" si="29"/>
        <v>0</v>
      </c>
      <c r="AQ37" s="7">
        <f t="shared" si="30"/>
        <v>1.029129451557682E-2</v>
      </c>
    </row>
    <row r="38" spans="1:43" s="7" customFormat="1">
      <c r="A38" s="4"/>
      <c r="B38" s="35">
        <f t="shared" si="31"/>
        <v>23</v>
      </c>
      <c r="C38" s="36">
        <f t="shared" si="0"/>
        <v>42704</v>
      </c>
      <c r="D38" s="32"/>
      <c r="E38" s="26">
        <f t="shared" si="11"/>
        <v>27267076.443889149</v>
      </c>
      <c r="F38" s="19">
        <f t="shared" si="1"/>
        <v>159057.94592268672</v>
      </c>
      <c r="G38" s="19">
        <f t="shared" si="12"/>
        <v>151105.04862655237</v>
      </c>
      <c r="H38" s="19">
        <f t="shared" si="13"/>
        <v>7952.8972961343534</v>
      </c>
      <c r="I38" s="19">
        <f t="shared" si="2"/>
        <v>27267076.443889149</v>
      </c>
      <c r="J38" s="19">
        <f t="shared" si="14"/>
        <v>27418181.492515702</v>
      </c>
      <c r="K38" s="52">
        <f t="shared" si="15"/>
        <v>0</v>
      </c>
      <c r="L38" s="38"/>
      <c r="M38" s="26">
        <f t="shared" si="16"/>
        <v>99500001.063999996</v>
      </c>
      <c r="N38" s="19">
        <f t="shared" si="3"/>
        <v>663333.34042666666</v>
      </c>
      <c r="O38" s="53">
        <f t="shared" si="17"/>
        <v>630166.67340533331</v>
      </c>
      <c r="P38" s="19">
        <f t="shared" si="18"/>
        <v>33166.667021333356</v>
      </c>
      <c r="Q38" s="19">
        <f t="shared" si="4"/>
        <v>9684499.6223652139</v>
      </c>
      <c r="R38" s="19">
        <f t="shared" si="19"/>
        <v>10314666.295770546</v>
      </c>
      <c r="S38" s="37">
        <f t="shared" si="20"/>
        <v>89815501.441634774</v>
      </c>
      <c r="T38" s="38"/>
      <c r="U38" s="26">
        <f t="shared" si="21"/>
        <v>49750000.531999998</v>
      </c>
      <c r="V38" s="54">
        <f t="shared" si="22"/>
        <v>196927.08543916667</v>
      </c>
      <c r="W38" s="19">
        <f t="shared" si="23"/>
        <v>0</v>
      </c>
      <c r="X38" s="19">
        <f t="shared" si="24"/>
        <v>196927.08543916667</v>
      </c>
      <c r="Y38" s="37">
        <f t="shared" si="5"/>
        <v>49750000.531999998</v>
      </c>
      <c r="Z38" s="38"/>
      <c r="AA38" s="26">
        <f>'Collateral Pool'!K38*'Bonds and Waterfalls'!$E$3/12</f>
        <v>941678.90981933509</v>
      </c>
      <c r="AB38" s="52">
        <f t="shared" si="25"/>
        <v>941678.90981933509</v>
      </c>
      <c r="AC38" s="38"/>
      <c r="AD38" s="26">
        <f t="shared" si="26"/>
        <v>207291.66888333333</v>
      </c>
      <c r="AE38" s="88">
        <f t="shared" si="6"/>
        <v>478846.09593481896</v>
      </c>
      <c r="AF38" s="38"/>
      <c r="AG38" s="26">
        <f>'Collateral Pool'!O38+'Collateral Pool'!P38+'Collateral Pool'!R38</f>
        <v>36472729.970319547</v>
      </c>
      <c r="AH38" s="19">
        <f>'Collateral Pool'!Q38</f>
        <v>2450207.960986841</v>
      </c>
      <c r="AI38" s="54">
        <f t="shared" si="7"/>
        <v>941678.90981933509</v>
      </c>
      <c r="AJ38" s="54">
        <f t="shared" si="27"/>
        <v>159057.94592268672</v>
      </c>
      <c r="AK38" s="19">
        <f t="shared" si="28"/>
        <v>663333.34042666666</v>
      </c>
      <c r="AL38" s="19">
        <f t="shared" si="8"/>
        <v>207291.66888333333</v>
      </c>
      <c r="AM38" s="19">
        <f t="shared" si="9"/>
        <v>27267076.443889149</v>
      </c>
      <c r="AN38" s="19">
        <f t="shared" si="10"/>
        <v>9684499.6223652139</v>
      </c>
      <c r="AO38" s="37">
        <f t="shared" si="29"/>
        <v>0</v>
      </c>
      <c r="AQ38" s="7">
        <f t="shared" si="30"/>
        <v>4.3610101588809911E-3</v>
      </c>
    </row>
    <row r="39" spans="1:43" s="7" customFormat="1">
      <c r="A39" s="4"/>
      <c r="B39" s="35">
        <f t="shared" si="31"/>
        <v>24</v>
      </c>
      <c r="C39" s="36">
        <f t="shared" si="0"/>
        <v>42735</v>
      </c>
      <c r="D39" s="32"/>
      <c r="E39" s="26">
        <f t="shared" si="11"/>
        <v>0</v>
      </c>
      <c r="F39" s="19">
        <f t="shared" si="1"/>
        <v>0</v>
      </c>
      <c r="G39" s="19">
        <f t="shared" si="12"/>
        <v>0</v>
      </c>
      <c r="H39" s="19">
        <f t="shared" si="13"/>
        <v>0</v>
      </c>
      <c r="I39" s="19">
        <f t="shared" si="2"/>
        <v>0</v>
      </c>
      <c r="J39" s="19">
        <f t="shared" si="14"/>
        <v>0</v>
      </c>
      <c r="K39" s="52">
        <f t="shared" si="15"/>
        <v>0</v>
      </c>
      <c r="L39" s="38"/>
      <c r="M39" s="26">
        <f t="shared" si="16"/>
        <v>89815501.441634774</v>
      </c>
      <c r="N39" s="19">
        <f t="shared" si="3"/>
        <v>598770.00961089844</v>
      </c>
      <c r="O39" s="53">
        <f t="shared" si="17"/>
        <v>568831.50913035346</v>
      </c>
      <c r="P39" s="19">
        <f t="shared" si="18"/>
        <v>29938.500480544986</v>
      </c>
      <c r="Q39" s="19">
        <f t="shared" si="4"/>
        <v>36976559.011509471</v>
      </c>
      <c r="R39" s="19">
        <f t="shared" si="19"/>
        <v>37545390.520639822</v>
      </c>
      <c r="S39" s="37">
        <f t="shared" si="20"/>
        <v>52838942.430125304</v>
      </c>
      <c r="T39" s="38"/>
      <c r="U39" s="26">
        <f t="shared" si="21"/>
        <v>49750000.531999998</v>
      </c>
      <c r="V39" s="54">
        <f t="shared" si="22"/>
        <v>196927.08543916667</v>
      </c>
      <c r="W39" s="19">
        <f t="shared" si="23"/>
        <v>0</v>
      </c>
      <c r="X39" s="19">
        <f t="shared" si="24"/>
        <v>196927.08543916667</v>
      </c>
      <c r="Y39" s="37">
        <f t="shared" si="5"/>
        <v>49750000.531999998</v>
      </c>
      <c r="Z39" s="38"/>
      <c r="AA39" s="26">
        <f>'Collateral Pool'!K39*'Bonds and Waterfalls'!$E$3/12</f>
        <v>766001.92712896271</v>
      </c>
      <c r="AB39" s="52">
        <f t="shared" si="25"/>
        <v>766001.92712896271</v>
      </c>
      <c r="AC39" s="38"/>
      <c r="AD39" s="26">
        <f t="shared" si="26"/>
        <v>207291.66888333333</v>
      </c>
      <c r="AE39" s="88">
        <f t="shared" si="6"/>
        <v>420977.02275890554</v>
      </c>
      <c r="AF39" s="38"/>
      <c r="AG39" s="26">
        <f>'Collateral Pool'!O39+'Collateral Pool'!P39+'Collateral Pool'!R39</f>
        <v>36555581.988750562</v>
      </c>
      <c r="AH39" s="19">
        <f>'Collateral Pool'!Q39</f>
        <v>1993040.6283821</v>
      </c>
      <c r="AI39" s="54">
        <f t="shared" si="7"/>
        <v>766001.92712896271</v>
      </c>
      <c r="AJ39" s="54">
        <f t="shared" si="27"/>
        <v>0</v>
      </c>
      <c r="AK39" s="19">
        <f t="shared" si="28"/>
        <v>598770.00961089844</v>
      </c>
      <c r="AL39" s="19">
        <f t="shared" si="8"/>
        <v>207291.66888333333</v>
      </c>
      <c r="AM39" s="19">
        <f t="shared" si="9"/>
        <v>0</v>
      </c>
      <c r="AN39" s="19">
        <f t="shared" si="10"/>
        <v>36976559.011509471</v>
      </c>
      <c r="AO39" s="37">
        <f t="shared" si="29"/>
        <v>0</v>
      </c>
      <c r="AQ39" s="7">
        <f t="shared" si="30"/>
        <v>0</v>
      </c>
    </row>
    <row r="40" spans="1:43" s="7" customFormat="1">
      <c r="A40" s="4"/>
      <c r="B40" s="35">
        <f t="shared" si="31"/>
        <v>25</v>
      </c>
      <c r="C40" s="36">
        <f t="shared" si="0"/>
        <v>42766</v>
      </c>
      <c r="D40" s="32"/>
      <c r="E40" s="26">
        <f t="shared" si="11"/>
        <v>0</v>
      </c>
      <c r="F40" s="19">
        <f t="shared" si="1"/>
        <v>0</v>
      </c>
      <c r="G40" s="19">
        <f t="shared" si="12"/>
        <v>0</v>
      </c>
      <c r="H40" s="19">
        <f t="shared" si="13"/>
        <v>0</v>
      </c>
      <c r="I40" s="19">
        <f t="shared" si="2"/>
        <v>0</v>
      </c>
      <c r="J40" s="19">
        <f t="shared" si="14"/>
        <v>0</v>
      </c>
      <c r="K40" s="52">
        <f t="shared" si="15"/>
        <v>0</v>
      </c>
      <c r="L40" s="38"/>
      <c r="M40" s="26">
        <f t="shared" si="16"/>
        <v>52838942.430125304</v>
      </c>
      <c r="N40" s="19">
        <f t="shared" si="3"/>
        <v>352259.61620083539</v>
      </c>
      <c r="O40" s="53">
        <f t="shared" si="17"/>
        <v>334646.63539079361</v>
      </c>
      <c r="P40" s="19">
        <f t="shared" si="18"/>
        <v>17612.980810041772</v>
      </c>
      <c r="Q40" s="19">
        <f t="shared" si="4"/>
        <v>37025358.463416666</v>
      </c>
      <c r="R40" s="19">
        <f t="shared" si="19"/>
        <v>37360005.098807462</v>
      </c>
      <c r="S40" s="37">
        <f t="shared" si="20"/>
        <v>15813583.966708638</v>
      </c>
      <c r="T40" s="38"/>
      <c r="U40" s="26">
        <f t="shared" si="21"/>
        <v>49750000.531999998</v>
      </c>
      <c r="V40" s="54">
        <f t="shared" si="22"/>
        <v>196927.08543916667</v>
      </c>
      <c r="W40" s="19">
        <f t="shared" si="23"/>
        <v>0</v>
      </c>
      <c r="X40" s="19">
        <f t="shared" si="24"/>
        <v>196927.08543916667</v>
      </c>
      <c r="Y40" s="37">
        <f t="shared" si="5"/>
        <v>49750000.531999998</v>
      </c>
      <c r="Z40" s="38"/>
      <c r="AA40" s="26">
        <f>'Collateral Pool'!K40*'Bonds and Waterfalls'!$E$3/12</f>
        <v>589925.87388314737</v>
      </c>
      <c r="AB40" s="52">
        <f t="shared" si="25"/>
        <v>589925.87388314737</v>
      </c>
      <c r="AC40" s="38"/>
      <c r="AD40" s="26">
        <f t="shared" si="26"/>
        <v>207291.66888333333</v>
      </c>
      <c r="AE40" s="88">
        <f t="shared" si="6"/>
        <v>385246.21259591193</v>
      </c>
      <c r="AF40" s="38"/>
      <c r="AG40" s="26">
        <f>'Collateral Pool'!O40+'Collateral Pool'!P40+'Collateral Pool'!R40</f>
        <v>36640112.250820756</v>
      </c>
      <c r="AH40" s="19">
        <f>'Collateral Pool'!Q40</f>
        <v>1534723.3715632281</v>
      </c>
      <c r="AI40" s="54">
        <f t="shared" si="7"/>
        <v>589925.87388314737</v>
      </c>
      <c r="AJ40" s="54">
        <f t="shared" si="27"/>
        <v>0</v>
      </c>
      <c r="AK40" s="19">
        <f t="shared" si="28"/>
        <v>352259.61620083539</v>
      </c>
      <c r="AL40" s="19">
        <f t="shared" si="8"/>
        <v>207291.66888333333</v>
      </c>
      <c r="AM40" s="19">
        <f t="shared" si="9"/>
        <v>0</v>
      </c>
      <c r="AN40" s="19">
        <f t="shared" si="10"/>
        <v>37025358.463416666</v>
      </c>
      <c r="AO40" s="37">
        <f t="shared" si="29"/>
        <v>0</v>
      </c>
      <c r="AQ40" s="7">
        <f t="shared" si="30"/>
        <v>0</v>
      </c>
    </row>
    <row r="41" spans="1:43" s="7" customFormat="1">
      <c r="A41" s="4"/>
      <c r="B41" s="35">
        <f t="shared" si="31"/>
        <v>26</v>
      </c>
      <c r="C41" s="36">
        <f t="shared" si="0"/>
        <v>42794</v>
      </c>
      <c r="D41" s="32"/>
      <c r="E41" s="26">
        <f t="shared" si="11"/>
        <v>0</v>
      </c>
      <c r="F41" s="19">
        <f t="shared" si="1"/>
        <v>0</v>
      </c>
      <c r="G41" s="19">
        <f t="shared" si="12"/>
        <v>0</v>
      </c>
      <c r="H41" s="19">
        <f t="shared" si="13"/>
        <v>0</v>
      </c>
      <c r="I41" s="19">
        <f t="shared" si="2"/>
        <v>0</v>
      </c>
      <c r="J41" s="19">
        <f t="shared" si="14"/>
        <v>0</v>
      </c>
      <c r="K41" s="52">
        <f t="shared" si="15"/>
        <v>0</v>
      </c>
      <c r="L41" s="38"/>
      <c r="M41" s="26">
        <f t="shared" si="16"/>
        <v>15813583.966708638</v>
      </c>
      <c r="N41" s="19">
        <f t="shared" si="3"/>
        <v>105423.89311139092</v>
      </c>
      <c r="O41" s="53">
        <f t="shared" si="17"/>
        <v>100152.69845582137</v>
      </c>
      <c r="P41" s="19">
        <f t="shared" si="18"/>
        <v>5271.1946555695467</v>
      </c>
      <c r="Q41" s="19">
        <f t="shared" si="4"/>
        <v>15813583.966708638</v>
      </c>
      <c r="R41" s="19">
        <f t="shared" si="19"/>
        <v>15913736.665164459</v>
      </c>
      <c r="S41" s="37">
        <f t="shared" si="20"/>
        <v>0</v>
      </c>
      <c r="T41" s="38"/>
      <c r="U41" s="26">
        <f t="shared" si="21"/>
        <v>49750000.531999998</v>
      </c>
      <c r="V41" s="54">
        <f t="shared" si="22"/>
        <v>196927.08543916667</v>
      </c>
      <c r="W41" s="19">
        <f t="shared" si="23"/>
        <v>20912745.855063349</v>
      </c>
      <c r="X41" s="19">
        <f t="shared" si="24"/>
        <v>21109672.940502517</v>
      </c>
      <c r="Y41" s="37">
        <f>U41-W41</f>
        <v>28837254.676936649</v>
      </c>
      <c r="Z41" s="38"/>
      <c r="AA41" s="26">
        <f>'Collateral Pool'!K41*'Bonds and Waterfalls'!$E$3/12</f>
        <v>413442.66654169414</v>
      </c>
      <c r="AB41" s="52">
        <f t="shared" si="25"/>
        <v>413442.66654169414</v>
      </c>
      <c r="AC41" s="38"/>
      <c r="AD41" s="26">
        <f t="shared" si="26"/>
        <v>207291.66888333333</v>
      </c>
      <c r="AE41" s="88">
        <f t="shared" si="6"/>
        <v>349075.65233991132</v>
      </c>
      <c r="AF41" s="38"/>
      <c r="AG41" s="26">
        <f>'Collateral Pool'!O41+'Collateral Pool'!P41+'Collateral Pool'!R41</f>
        <v>36726329.821771987</v>
      </c>
      <c r="AH41" s="19">
        <f>'Collateral Pool'!Q41</f>
        <v>1075233.8808763297</v>
      </c>
      <c r="AI41" s="54">
        <f t="shared" si="7"/>
        <v>413442.66654169414</v>
      </c>
      <c r="AJ41" s="54">
        <f t="shared" si="27"/>
        <v>0</v>
      </c>
      <c r="AK41" s="19">
        <f t="shared" si="28"/>
        <v>105423.89311139092</v>
      </c>
      <c r="AL41" s="19">
        <f t="shared" si="8"/>
        <v>207291.66888333333</v>
      </c>
      <c r="AM41" s="19">
        <f t="shared" si="9"/>
        <v>0</v>
      </c>
      <c r="AN41" s="19">
        <f t="shared" si="10"/>
        <v>15813583.966708638</v>
      </c>
      <c r="AO41" s="37">
        <f>MAX(MIN($AG41-SUM(AM41:AN41)),0)</f>
        <v>20912745.855063349</v>
      </c>
      <c r="AQ41" s="7">
        <f t="shared" si="30"/>
        <v>0</v>
      </c>
    </row>
    <row r="42" spans="1:43">
      <c r="B42" s="35">
        <f t="shared" si="31"/>
        <v>27</v>
      </c>
      <c r="C42" s="36">
        <f t="shared" ref="C42:C44" si="32">EOMONTH($C$15,(B42)*1)</f>
        <v>42825</v>
      </c>
      <c r="D42" s="32"/>
      <c r="E42" s="26">
        <f t="shared" ref="E42:E44" si="33">K41</f>
        <v>0</v>
      </c>
      <c r="F42" s="19">
        <f t="shared" ref="F42:F44" si="34">E42*$G$3/12</f>
        <v>0</v>
      </c>
      <c r="G42" s="19">
        <f t="shared" si="12"/>
        <v>0</v>
      </c>
      <c r="H42" s="19">
        <f t="shared" ref="H42:H44" si="35">F42-G42</f>
        <v>0</v>
      </c>
      <c r="I42" s="19">
        <f t="shared" ref="I42:I44" si="36">AM42</f>
        <v>0</v>
      </c>
      <c r="J42" s="19">
        <f t="shared" ref="J42:J44" si="37">G42+I42</f>
        <v>0</v>
      </c>
      <c r="K42" s="52">
        <f t="shared" ref="K42:K44" si="38">E42-I42</f>
        <v>0</v>
      </c>
      <c r="L42" s="38"/>
      <c r="M42" s="26">
        <f t="shared" ref="M42:M44" si="39">S41</f>
        <v>0</v>
      </c>
      <c r="N42" s="19">
        <f t="shared" ref="N42:N44" si="40">M42*$G$4/12</f>
        <v>0</v>
      </c>
      <c r="O42" s="53">
        <f t="shared" si="17"/>
        <v>0</v>
      </c>
      <c r="P42" s="19">
        <f t="shared" ref="P42:P44" si="41">N42-O42</f>
        <v>0</v>
      </c>
      <c r="Q42" s="19">
        <f t="shared" ref="Q42:Q44" si="42">AN42</f>
        <v>0</v>
      </c>
      <c r="R42" s="19">
        <f t="shared" ref="R42:R44" si="43">O42+Q42</f>
        <v>0</v>
      </c>
      <c r="S42" s="37">
        <f t="shared" ref="S42:S44" si="44">M42-Q42</f>
        <v>0</v>
      </c>
      <c r="T42" s="38"/>
      <c r="U42" s="26">
        <f t="shared" ref="U42:U44" si="45">Y41</f>
        <v>28837254.676936649</v>
      </c>
      <c r="V42" s="54">
        <f t="shared" si="22"/>
        <v>114147.4664295409</v>
      </c>
      <c r="W42" s="19">
        <f t="shared" ref="W42:W44" si="46">AO42</f>
        <v>25647077.79741193</v>
      </c>
      <c r="X42" s="19">
        <f t="shared" ref="X42:X44" si="47">V42+W42</f>
        <v>25761225.263841473</v>
      </c>
      <c r="Y42" s="37">
        <f t="shared" ref="Y42:Y44" si="48">U42-W42</f>
        <v>3190176.879524719</v>
      </c>
      <c r="Z42" s="38"/>
      <c r="AA42" s="26">
        <f>'Collateral Pool'!K42*'Bonds and Waterfalls'!$E$3/12</f>
        <v>236544.17790015903</v>
      </c>
      <c r="AB42" s="52">
        <f t="shared" ref="AB42:AB44" si="49">AI42</f>
        <v>236544.17790015903</v>
      </c>
      <c r="AC42" s="38"/>
      <c r="AD42" s="26">
        <f t="shared" ref="AD42:AD44" si="50">U42*5%/12</f>
        <v>120155.22782056937</v>
      </c>
      <c r="AE42" s="88">
        <f t="shared" si="6"/>
        <v>257850.30995439942</v>
      </c>
      <c r="AF42" s="38"/>
      <c r="AG42" s="26">
        <f>'Collateral Pool'!O42+'Collateral Pool'!P42+'Collateral Pool'!R42</f>
        <v>25647077.79741193</v>
      </c>
      <c r="AH42" s="19">
        <f>'Collateral Pool'!Q42</f>
        <v>614549.71567512781</v>
      </c>
      <c r="AI42" s="54">
        <f t="shared" ref="AI42:AI44" si="51">MIN(AH42,AA42)</f>
        <v>236544.17790015903</v>
      </c>
      <c r="AJ42" s="54">
        <f t="shared" si="27"/>
        <v>0</v>
      </c>
      <c r="AK42" s="19">
        <f t="shared" si="28"/>
        <v>0</v>
      </c>
      <c r="AL42" s="19">
        <f t="shared" si="8"/>
        <v>120155.22782056937</v>
      </c>
      <c r="AM42" s="19">
        <f t="shared" si="9"/>
        <v>0</v>
      </c>
      <c r="AN42" s="19">
        <f t="shared" si="10"/>
        <v>0</v>
      </c>
      <c r="AO42" s="37">
        <f t="shared" ref="AO42:AO44" si="52">MAX(MIN($AG42-SUM(AM42:AN42)),0)</f>
        <v>25647077.79741193</v>
      </c>
      <c r="AP42" s="7"/>
      <c r="AQ42" s="7">
        <f t="shared" si="30"/>
        <v>0</v>
      </c>
    </row>
    <row r="43" spans="1:43">
      <c r="B43" s="35">
        <f t="shared" si="31"/>
        <v>28</v>
      </c>
      <c r="C43" s="36">
        <f t="shared" si="32"/>
        <v>42855</v>
      </c>
      <c r="D43" s="32"/>
      <c r="E43" s="26">
        <f t="shared" si="33"/>
        <v>0</v>
      </c>
      <c r="F43" s="19">
        <f t="shared" si="34"/>
        <v>0</v>
      </c>
      <c r="G43" s="19">
        <f t="shared" si="12"/>
        <v>0</v>
      </c>
      <c r="H43" s="19">
        <f t="shared" si="35"/>
        <v>0</v>
      </c>
      <c r="I43" s="19">
        <f t="shared" si="36"/>
        <v>0</v>
      </c>
      <c r="J43" s="19">
        <f t="shared" si="37"/>
        <v>0</v>
      </c>
      <c r="K43" s="52">
        <f t="shared" si="38"/>
        <v>0</v>
      </c>
      <c r="L43" s="38"/>
      <c r="M43" s="26">
        <f t="shared" si="39"/>
        <v>0</v>
      </c>
      <c r="N43" s="19">
        <f t="shared" si="40"/>
        <v>0</v>
      </c>
      <c r="O43" s="53">
        <f t="shared" si="17"/>
        <v>0</v>
      </c>
      <c r="P43" s="19">
        <f t="shared" si="41"/>
        <v>0</v>
      </c>
      <c r="Q43" s="19">
        <f t="shared" si="42"/>
        <v>0</v>
      </c>
      <c r="R43" s="19">
        <f t="shared" si="43"/>
        <v>0</v>
      </c>
      <c r="S43" s="37">
        <f t="shared" si="44"/>
        <v>0</v>
      </c>
      <c r="T43" s="38"/>
      <c r="U43" s="26">
        <f t="shared" si="45"/>
        <v>3190176.879524719</v>
      </c>
      <c r="V43" s="54">
        <f t="shared" si="22"/>
        <v>12627.783481452012</v>
      </c>
      <c r="W43" s="19">
        <f t="shared" si="46"/>
        <v>16633106.717212526</v>
      </c>
      <c r="X43" s="19">
        <f t="shared" si="47"/>
        <v>16645734.500693979</v>
      </c>
      <c r="Y43" s="37">
        <f t="shared" si="48"/>
        <v>-13442929.837687807</v>
      </c>
      <c r="Z43" s="38"/>
      <c r="AA43" s="26">
        <f>'Collateral Pool'!K43*'Bonds and Waterfalls'!$E$3/12</f>
        <v>113010.75317595822</v>
      </c>
      <c r="AB43" s="52">
        <f t="shared" si="49"/>
        <v>113010.75317595822</v>
      </c>
      <c r="AC43" s="38"/>
      <c r="AD43" s="26">
        <f t="shared" si="50"/>
        <v>13292.40366468633</v>
      </c>
      <c r="AE43" s="88">
        <f t="shared" si="6"/>
        <v>166393.4336913572</v>
      </c>
      <c r="AF43" s="38"/>
      <c r="AG43" s="26">
        <f>'Collateral Pool'!O43+'Collateral Pool'!P43+'Collateral Pool'!R43</f>
        <v>16633106.717212526</v>
      </c>
      <c r="AH43" s="19">
        <f>'Collateral Pool'!Q43</f>
        <v>292696.59053200175</v>
      </c>
      <c r="AI43" s="54">
        <f t="shared" si="51"/>
        <v>113010.75317595822</v>
      </c>
      <c r="AJ43" s="54">
        <f t="shared" si="27"/>
        <v>0</v>
      </c>
      <c r="AK43" s="19">
        <f t="shared" si="28"/>
        <v>0</v>
      </c>
      <c r="AL43" s="19">
        <f t="shared" si="8"/>
        <v>13292.40366468633</v>
      </c>
      <c r="AM43" s="19">
        <f t="shared" si="9"/>
        <v>0</v>
      </c>
      <c r="AN43" s="19">
        <f t="shared" si="10"/>
        <v>0</v>
      </c>
      <c r="AO43" s="37">
        <f t="shared" si="52"/>
        <v>16633106.717212526</v>
      </c>
      <c r="AP43" s="7"/>
      <c r="AQ43" s="7">
        <f t="shared" si="30"/>
        <v>0</v>
      </c>
    </row>
    <row r="44" spans="1:43">
      <c r="B44" s="35">
        <f t="shared" si="31"/>
        <v>29</v>
      </c>
      <c r="C44" s="36">
        <f t="shared" si="32"/>
        <v>42886</v>
      </c>
      <c r="D44" s="32"/>
      <c r="E44" s="26">
        <f t="shared" si="33"/>
        <v>0</v>
      </c>
      <c r="F44" s="19">
        <f t="shared" si="34"/>
        <v>0</v>
      </c>
      <c r="G44" s="19">
        <f t="shared" si="12"/>
        <v>0</v>
      </c>
      <c r="H44" s="19">
        <f t="shared" si="35"/>
        <v>0</v>
      </c>
      <c r="I44" s="19">
        <f t="shared" si="36"/>
        <v>0</v>
      </c>
      <c r="J44" s="19">
        <f t="shared" si="37"/>
        <v>0</v>
      </c>
      <c r="K44" s="52">
        <f t="shared" si="38"/>
        <v>0</v>
      </c>
      <c r="L44" s="38"/>
      <c r="M44" s="26">
        <f t="shared" si="39"/>
        <v>0</v>
      </c>
      <c r="N44" s="19">
        <f t="shared" si="40"/>
        <v>0</v>
      </c>
      <c r="O44" s="53">
        <f t="shared" si="17"/>
        <v>0</v>
      </c>
      <c r="P44" s="19">
        <f t="shared" si="41"/>
        <v>0</v>
      </c>
      <c r="Q44" s="19">
        <f t="shared" si="42"/>
        <v>0</v>
      </c>
      <c r="R44" s="19">
        <f t="shared" si="43"/>
        <v>0</v>
      </c>
      <c r="S44" s="37">
        <f t="shared" si="44"/>
        <v>0</v>
      </c>
      <c r="T44" s="38"/>
      <c r="U44" s="26">
        <f t="shared" si="45"/>
        <v>-13442929.837687807</v>
      </c>
      <c r="V44" s="54">
        <f t="shared" si="22"/>
        <v>0</v>
      </c>
      <c r="W44" s="19">
        <f t="shared" si="46"/>
        <v>6829333.388522773</v>
      </c>
      <c r="X44" s="19">
        <f t="shared" si="47"/>
        <v>6829333.388522773</v>
      </c>
      <c r="Y44" s="37">
        <f t="shared" si="48"/>
        <v>-20272263.226210579</v>
      </c>
      <c r="Z44" s="38"/>
      <c r="AA44" s="26">
        <f>'Collateral Pool'!K44*'Bonds and Waterfalls'!$E$3/12</f>
        <v>32894.622488051209</v>
      </c>
      <c r="AB44" s="52">
        <f t="shared" si="49"/>
        <v>32894.622488051209</v>
      </c>
      <c r="AC44" s="38"/>
      <c r="AD44" s="26">
        <f t="shared" si="50"/>
        <v>-56012.20765703253</v>
      </c>
      <c r="AE44" s="88">
        <f t="shared" si="6"/>
        <v>52263.209909821388</v>
      </c>
      <c r="AF44" s="38"/>
      <c r="AG44" s="26">
        <f>'Collateral Pool'!O44+'Collateral Pool'!P44+'Collateral Pool'!R44</f>
        <v>6829333.388522773</v>
      </c>
      <c r="AH44" s="19">
        <f>'Collateral Pool'!Q44</f>
        <v>85157.832397872597</v>
      </c>
      <c r="AI44" s="54">
        <f t="shared" si="51"/>
        <v>32894.622488051209</v>
      </c>
      <c r="AJ44" s="54">
        <f t="shared" si="27"/>
        <v>0</v>
      </c>
      <c r="AK44" s="19">
        <f t="shared" si="28"/>
        <v>0</v>
      </c>
      <c r="AL44" s="19">
        <f t="shared" si="8"/>
        <v>0</v>
      </c>
      <c r="AM44" s="19">
        <f t="shared" si="9"/>
        <v>0</v>
      </c>
      <c r="AN44" s="19">
        <f t="shared" si="10"/>
        <v>0</v>
      </c>
      <c r="AO44" s="37">
        <f t="shared" si="52"/>
        <v>6829333.388522773</v>
      </c>
      <c r="AP44" s="7"/>
      <c r="AQ44" s="7">
        <f t="shared" si="30"/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shFlow"/>
  <dimension ref="A1:Q24"/>
  <sheetViews>
    <sheetView workbookViewId="0">
      <selection activeCell="B44" sqref="B44"/>
    </sheetView>
  </sheetViews>
  <sheetFormatPr defaultRowHeight="12.75"/>
  <cols>
    <col min="2" max="3" width="17.42578125" bestFit="1" customWidth="1"/>
    <col min="4" max="4" width="16.140625" bestFit="1" customWidth="1"/>
  </cols>
  <sheetData>
    <row r="1" spans="1:17" ht="15" thickBot="1">
      <c r="A1" s="110" t="s">
        <v>79</v>
      </c>
      <c r="B1" s="111"/>
      <c r="C1" s="111"/>
      <c r="D1" s="112"/>
    </row>
    <row r="2" spans="1:17" ht="15" thickBot="1">
      <c r="A2" s="100" t="s">
        <v>80</v>
      </c>
      <c r="B2" s="101" t="s">
        <v>81</v>
      </c>
      <c r="C2" s="101" t="s">
        <v>82</v>
      </c>
      <c r="D2" s="101" t="s">
        <v>83</v>
      </c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</row>
    <row r="3" spans="1:17" ht="13.5" thickBot="1">
      <c r="A3" s="102">
        <v>0</v>
      </c>
      <c r="B3" s="103">
        <v>0.16205596923828125</v>
      </c>
      <c r="C3" s="103">
        <v>6.974029541015625E-2</v>
      </c>
      <c r="D3" s="103">
        <v>2.553558349609375E-2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</row>
    <row r="4" spans="1:17" ht="13.5" thickBot="1">
      <c r="A4" s="102">
        <v>0.25</v>
      </c>
      <c r="B4" s="103">
        <v>0.21474456787109375</v>
      </c>
      <c r="C4" s="103">
        <v>9.214019775390625E-2</v>
      </c>
      <c r="D4" s="103">
        <v>3.372955322265625E-2</v>
      </c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</row>
    <row r="5" spans="1:17"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</row>
    <row r="6" spans="1:17" ht="13.5" thickBot="1"/>
    <row r="7" spans="1:17" ht="14.25">
      <c r="A7" s="104" t="s">
        <v>73</v>
      </c>
      <c r="B7" s="105"/>
      <c r="C7" s="105"/>
      <c r="D7" s="106"/>
    </row>
    <row r="8" spans="1:17" ht="15" thickBot="1">
      <c r="A8" s="107" t="s">
        <v>74</v>
      </c>
      <c r="B8" s="108"/>
      <c r="C8" s="108"/>
      <c r="D8" s="109"/>
    </row>
    <row r="9" spans="1:17" ht="15" thickBot="1">
      <c r="A9" s="96" t="s">
        <v>75</v>
      </c>
      <c r="B9" s="97" t="s">
        <v>76</v>
      </c>
      <c r="C9" s="97" t="s">
        <v>77</v>
      </c>
      <c r="D9" s="97" t="s">
        <v>78</v>
      </c>
    </row>
    <row r="10" spans="1:17" ht="13.5" thickBot="1">
      <c r="A10" s="98">
        <v>0.02</v>
      </c>
      <c r="B10" s="99">
        <v>6.856477628116342E-2</v>
      </c>
      <c r="C10" s="99">
        <v>7.8704026017795359E-2</v>
      </c>
      <c r="D10" s="99">
        <v>0.2153150073091159</v>
      </c>
    </row>
    <row r="11" spans="1:17" ht="13.5" thickBot="1">
      <c r="A11" s="98">
        <v>0.04</v>
      </c>
      <c r="B11" s="99">
        <v>6.856477628116342E-2</v>
      </c>
      <c r="C11" s="99">
        <v>7.8704026017795359E-2</v>
      </c>
      <c r="D11" s="99">
        <v>0.21264920856689096</v>
      </c>
    </row>
    <row r="12" spans="1:17" ht="13.5" thickBot="1">
      <c r="A12" s="98">
        <v>0.06</v>
      </c>
      <c r="B12" s="99">
        <v>6.8564776281166084E-2</v>
      </c>
      <c r="C12" s="99">
        <v>7.8704026017795359E-2</v>
      </c>
      <c r="D12" s="99">
        <v>0.21002702704569343</v>
      </c>
    </row>
    <row r="13" spans="1:17" ht="13.5" thickBot="1">
      <c r="A13" s="98">
        <v>0.08</v>
      </c>
      <c r="B13" s="99">
        <v>6.856477628116342E-2</v>
      </c>
      <c r="C13" s="99">
        <v>7.8704026017795359E-2</v>
      </c>
      <c r="D13" s="99">
        <v>0.20743426386119723</v>
      </c>
    </row>
    <row r="14" spans="1:17" ht="13.5" thickBot="1">
      <c r="A14" s="98">
        <v>0.1</v>
      </c>
      <c r="B14" s="99">
        <v>6.8564776281166084E-2</v>
      </c>
      <c r="C14" s="99">
        <v>7.8704026017795359E-2</v>
      </c>
      <c r="D14" s="99">
        <v>0.20487105683861451</v>
      </c>
    </row>
    <row r="15" spans="1:17" ht="13.5" thickBot="1">
      <c r="A15" s="98">
        <v>0.12</v>
      </c>
      <c r="B15" s="99">
        <v>6.856477628116342E-2</v>
      </c>
      <c r="C15" s="99">
        <v>7.8704026017795359E-2</v>
      </c>
      <c r="D15" s="99">
        <v>0.20233751365638097</v>
      </c>
    </row>
    <row r="16" spans="1:17" ht="13.5" thickBot="1">
      <c r="A16" s="98">
        <v>0.14000000000000001</v>
      </c>
      <c r="B16" s="99">
        <v>6.856477628116342E-2</v>
      </c>
      <c r="C16" s="99">
        <v>7.8704026017795359E-2</v>
      </c>
      <c r="D16" s="99">
        <v>0.19983371322254184</v>
      </c>
    </row>
    <row r="17" spans="1:4" ht="13.5" thickBot="1">
      <c r="A17" s="98">
        <v>0.16</v>
      </c>
      <c r="B17" s="99">
        <v>6.856477628116342E-2</v>
      </c>
      <c r="C17" s="99">
        <v>7.8704026017795359E-2</v>
      </c>
      <c r="D17" s="99">
        <v>0.1973865948081297</v>
      </c>
    </row>
    <row r="18" spans="1:4" ht="13.5" thickBot="1">
      <c r="A18" s="98">
        <v>0.18</v>
      </c>
      <c r="B18" s="99">
        <v>6.856477628116342E-2</v>
      </c>
      <c r="C18" s="99">
        <v>7.8704026017795359E-2</v>
      </c>
      <c r="D18" s="99">
        <v>0.19245066849041881</v>
      </c>
    </row>
    <row r="19" spans="1:4" ht="13.5" thickBot="1">
      <c r="A19" s="98">
        <v>0.2</v>
      </c>
      <c r="B19" s="99">
        <v>6.8564776281166084E-2</v>
      </c>
      <c r="C19" s="99">
        <v>7.8704026017795359E-2</v>
      </c>
      <c r="D19" s="99">
        <v>0.19031844091077743</v>
      </c>
    </row>
    <row r="20" spans="1:4" ht="13.5" thickBot="1">
      <c r="A20" s="98">
        <v>0.22</v>
      </c>
      <c r="B20" s="99">
        <v>6.856477628116342E-2</v>
      </c>
      <c r="C20" s="99">
        <v>7.8704026017795359E-2</v>
      </c>
      <c r="D20" s="99">
        <v>0.18820449680243856</v>
      </c>
    </row>
    <row r="21" spans="1:4" ht="13.5" thickBot="1">
      <c r="A21" s="98">
        <v>0.24</v>
      </c>
      <c r="B21" s="99">
        <v>6.8564776281166084E-2</v>
      </c>
      <c r="C21" s="99">
        <v>7.8704026017795359E-2</v>
      </c>
      <c r="D21" s="99">
        <v>0.18610542215257686</v>
      </c>
    </row>
    <row r="22" spans="1:4" ht="13.5" thickBot="1">
      <c r="A22" s="98">
        <v>0.26</v>
      </c>
      <c r="B22" s="99">
        <v>6.8564776281166084E-2</v>
      </c>
      <c r="C22" s="99">
        <v>7.8704026017795359E-2</v>
      </c>
      <c r="D22" s="99">
        <v>0.18403703567768104</v>
      </c>
    </row>
    <row r="23" spans="1:4" ht="13.5" thickBot="1">
      <c r="A23" s="98">
        <v>0.28000000000000003</v>
      </c>
      <c r="B23" s="99">
        <v>6.8564776281166084E-2</v>
      </c>
      <c r="C23" s="99">
        <v>7.8704026017795359E-2</v>
      </c>
      <c r="D23" s="99">
        <v>0.18200574857329155</v>
      </c>
    </row>
    <row r="24" spans="1:4" ht="13.5" thickBot="1">
      <c r="A24" s="98">
        <v>0.3</v>
      </c>
      <c r="B24" s="99">
        <v>6.856477628116342E-2</v>
      </c>
      <c r="C24" s="99">
        <v>7.8704026017795359E-2</v>
      </c>
      <c r="D24" s="99">
        <v>0.17998992396695712</v>
      </c>
    </row>
  </sheetData>
  <mergeCells count="3">
    <mergeCell ref="A7:D7"/>
    <mergeCell ref="A8:D8"/>
    <mergeCell ref="A1:D1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12" sqref="E12"/>
    </sheetView>
  </sheetViews>
  <sheetFormatPr defaultRowHeight="12.7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Collateral Pool</vt:lpstr>
      <vt:lpstr>Bonds and Waterfalls</vt:lpstr>
      <vt:lpstr>template</vt:lpstr>
      <vt:lpstr>Sheet1</vt:lpstr>
      <vt:lpstr>'Bonds and Waterfalls'!Temp</vt:lpstr>
      <vt:lpstr>'Collateral Pool'!Temp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Kun.Xue</dc:creator>
  <cp:lastModifiedBy>李丞</cp:lastModifiedBy>
  <dcterms:created xsi:type="dcterms:W3CDTF">2013-11-07T08:24:41Z</dcterms:created>
  <dcterms:modified xsi:type="dcterms:W3CDTF">2014-02-20T06:34:09Z</dcterms:modified>
</cp:coreProperties>
</file>