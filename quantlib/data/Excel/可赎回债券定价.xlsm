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\github\CAL\quantlib\data\Excel\"/>
    </mc:Choice>
  </mc:AlternateContent>
  <bookViews>
    <workbookView xWindow="4650" yWindow="0" windowWidth="19560" windowHeight="8295" activeTab="2"/>
  </bookViews>
  <sheets>
    <sheet name="债券信息" sheetId="1" r:id="rId1"/>
    <sheet name="市场信息" sheetId="2" r:id="rId2"/>
    <sheet name="定价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D4" i="2"/>
  <c r="F30" i="3" l="1"/>
  <c r="F20" i="3"/>
  <c r="F12" i="3"/>
  <c r="F3" i="3"/>
  <c r="F34" i="3"/>
  <c r="F26" i="3"/>
  <c r="F27" i="3"/>
  <c r="G26" i="3"/>
  <c r="I5" i="1"/>
  <c r="F7" i="3"/>
  <c r="F8" i="3" s="1"/>
  <c r="C15" i="1"/>
  <c r="F16" i="3"/>
  <c r="J4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J27" i="1"/>
  <c r="J23" i="1"/>
  <c r="J19" i="1"/>
  <c r="J15" i="1"/>
  <c r="J11" i="1"/>
  <c r="J7" i="1"/>
  <c r="F35" i="3"/>
  <c r="J26" i="1"/>
  <c r="J18" i="1"/>
  <c r="J14" i="1"/>
  <c r="J10" i="1"/>
  <c r="J25" i="1"/>
  <c r="J21" i="1"/>
  <c r="J9" i="1"/>
  <c r="F17" i="3"/>
  <c r="J22" i="1"/>
  <c r="J6" i="1"/>
  <c r="J13" i="1"/>
  <c r="J24" i="1"/>
  <c r="J20" i="1"/>
  <c r="J16" i="1"/>
  <c r="J12" i="1"/>
  <c r="J8" i="1"/>
  <c r="J5" i="1"/>
  <c r="J17" i="1"/>
  <c r="L4" i="1"/>
  <c r="B3" i="3" s="1"/>
  <c r="I3" i="3"/>
  <c r="I12" i="3"/>
  <c r="I20" i="3"/>
  <c r="I32" i="3"/>
  <c r="I33" i="3" s="1"/>
  <c r="I31" i="3"/>
  <c r="I22" i="3"/>
  <c r="I23" i="3" s="1"/>
  <c r="I21" i="3"/>
  <c r="I14" i="3"/>
  <c r="I15" i="3" s="1"/>
  <c r="I13" i="3"/>
  <c r="I30" i="3"/>
  <c r="I5" i="3"/>
  <c r="I6" i="3" s="1"/>
  <c r="I4" i="3"/>
</calcChain>
</file>

<file path=xl/sharedStrings.xml><?xml version="1.0" encoding="utf-8"?>
<sst xmlns="http://schemas.openxmlformats.org/spreadsheetml/2006/main" count="134" uniqueCount="51">
  <si>
    <t>基本信息</t>
    <phoneticPr fontId="2" type="noConversion"/>
  </si>
  <si>
    <t>估值日</t>
    <phoneticPr fontId="2" type="noConversion"/>
  </si>
  <si>
    <t>市场收益率</t>
    <phoneticPr fontId="2" type="noConversion"/>
  </si>
  <si>
    <t>计息惯例</t>
    <phoneticPr fontId="2" type="noConversion"/>
  </si>
  <si>
    <t>Actual/Actual (ISMA)</t>
    <phoneticPr fontId="2" type="noConversion"/>
  </si>
  <si>
    <t>复利</t>
    <phoneticPr fontId="2" type="noConversion"/>
  </si>
  <si>
    <t>Compounded</t>
    <phoneticPr fontId="2" type="noConversion"/>
  </si>
  <si>
    <t>计息周期</t>
    <phoneticPr fontId="2" type="noConversion"/>
  </si>
  <si>
    <t>Semiannual</t>
    <phoneticPr fontId="2" type="noConversion"/>
  </si>
  <si>
    <t>行权日程</t>
    <phoneticPr fontId="2" type="noConversion"/>
  </si>
  <si>
    <t>价格类型</t>
    <phoneticPr fontId="2" type="noConversion"/>
  </si>
  <si>
    <t>价格</t>
    <phoneticPr fontId="2" type="noConversion"/>
  </si>
  <si>
    <t>行权类型</t>
    <phoneticPr fontId="2" type="noConversion"/>
  </si>
  <si>
    <t>日期</t>
    <phoneticPr fontId="2" type="noConversion"/>
  </si>
  <si>
    <t>Clean</t>
    <phoneticPr fontId="2" type="noConversion"/>
  </si>
  <si>
    <t>Call</t>
    <phoneticPr fontId="2" type="noConversion"/>
  </si>
  <si>
    <t>行权对象</t>
    <phoneticPr fontId="2" type="noConversion"/>
  </si>
  <si>
    <t>发行日</t>
    <phoneticPr fontId="2" type="noConversion"/>
  </si>
  <si>
    <t>到期日</t>
    <phoneticPr fontId="2" type="noConversion"/>
  </si>
  <si>
    <t>结算速度</t>
    <phoneticPr fontId="2" type="noConversion"/>
  </si>
  <si>
    <t>日历</t>
    <phoneticPr fontId="2" type="noConversion"/>
  </si>
  <si>
    <t>UnitedStates::GovernmentBond</t>
  </si>
  <si>
    <t>票息</t>
    <phoneticPr fontId="2" type="noConversion"/>
  </si>
  <si>
    <t>付息频率</t>
    <phoneticPr fontId="2" type="noConversion"/>
  </si>
  <si>
    <t>Quarterly</t>
    <phoneticPr fontId="2" type="noConversion"/>
  </si>
  <si>
    <t>面值</t>
    <phoneticPr fontId="2" type="noConversion"/>
  </si>
  <si>
    <t>到期返还</t>
    <phoneticPr fontId="2" type="noConversion"/>
  </si>
  <si>
    <t>计息工作日惯例</t>
    <phoneticPr fontId="2" type="noConversion"/>
  </si>
  <si>
    <t>付息工作日惯例</t>
    <phoneticPr fontId="2" type="noConversion"/>
  </si>
  <si>
    <t>Unadjusted</t>
    <phoneticPr fontId="2" type="noConversion"/>
  </si>
  <si>
    <t>债券日程</t>
    <phoneticPr fontId="2" type="noConversion"/>
  </si>
  <si>
    <t>市场收益率曲线</t>
    <phoneticPr fontId="2" type="noConversion"/>
  </si>
  <si>
    <t>市场利率水平</t>
    <phoneticPr fontId="2" type="noConversion"/>
  </si>
  <si>
    <t>标的可转债</t>
    <phoneticPr fontId="2" type="noConversion"/>
  </si>
  <si>
    <t>Hull-White</t>
    <phoneticPr fontId="2" type="noConversion"/>
  </si>
  <si>
    <t>参数</t>
    <phoneticPr fontId="2" type="noConversion"/>
  </si>
  <si>
    <t>市场曲线</t>
    <phoneticPr fontId="2" type="noConversion"/>
  </si>
  <si>
    <t>波动率（sigma）</t>
    <phoneticPr fontId="2" type="noConversion"/>
  </si>
  <si>
    <t>回归速度（k)</t>
    <phoneticPr fontId="2" type="noConversion"/>
  </si>
  <si>
    <t>节点数</t>
    <phoneticPr fontId="2" type="noConversion"/>
  </si>
  <si>
    <t>模型</t>
    <phoneticPr fontId="2" type="noConversion"/>
  </si>
  <si>
    <t>计算引擎</t>
    <phoneticPr fontId="2" type="noConversion"/>
  </si>
  <si>
    <t>计算</t>
    <phoneticPr fontId="2" type="noConversion"/>
  </si>
  <si>
    <t>NPV</t>
    <phoneticPr fontId="2" type="noConversion"/>
  </si>
  <si>
    <t>Clean Price</t>
    <phoneticPr fontId="2" type="noConversion"/>
  </si>
  <si>
    <t>YTM</t>
    <phoneticPr fontId="2" type="noConversion"/>
  </si>
  <si>
    <t>Black-Karasinski</t>
    <phoneticPr fontId="2" type="noConversion"/>
  </si>
  <si>
    <t>Extended CIR</t>
    <phoneticPr fontId="2" type="noConversion"/>
  </si>
  <si>
    <t>回归水平（Theta）</t>
    <phoneticPr fontId="2" type="noConversion"/>
  </si>
  <si>
    <t>短期利率初值（x0）</t>
    <phoneticPr fontId="2" type="noConversion"/>
  </si>
  <si>
    <t>Generalized Hull-White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</si>
</sst>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%"/>
    <numFmt numFmtId="177" formatCode="0.0000"/>
  </numFmts>
  <fonts count="5" x14ac:knownFonts="1">
    <font>
      <sz val="11"/>
      <color theme="1"/>
      <name val="华文楷体"/>
      <family val="2"/>
      <charset val="134"/>
    </font>
    <font>
      <sz val="11"/>
      <color theme="1"/>
      <name val="华文楷体"/>
      <family val="2"/>
      <charset val="134"/>
    </font>
    <font>
      <sz val="9"/>
      <name val="华文楷体"/>
      <family val="2"/>
      <charset val="134"/>
    </font>
    <font>
      <sz val="11"/>
      <color theme="1"/>
      <name val="华文楷体"/>
      <family val="3"/>
      <charset val="134"/>
    </font>
    <font>
      <b/>
      <sz val="11"/>
      <color rgb="FFFF0000"/>
      <name val="华文楷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14" fontId="0" fillId="0" borderId="0" xfId="0" applyNumberFormat="1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6" xfId="0" applyNumberFormat="1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9" xfId="0" applyFont="1" applyFill="1" applyBorder="1" applyAlignment="1">
      <alignment horizontal="right" vertical="center"/>
    </xf>
    <xf numFmtId="0" fontId="3" fillId="2" borderId="10" xfId="0" applyFont="1" applyFill="1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14" fontId="0" fillId="0" borderId="2" xfId="0" applyNumberFormat="1" applyBorder="1" applyAlignment="1">
      <alignment horizontal="right" vertical="center"/>
    </xf>
    <xf numFmtId="14" fontId="0" fillId="0" borderId="4" xfId="0" applyNumberFormat="1" applyBorder="1" applyAlignment="1">
      <alignment horizontal="right" vertical="center"/>
    </xf>
    <xf numFmtId="176" fontId="0" fillId="0" borderId="4" xfId="1" applyNumberFormat="1" applyFont="1" applyBorder="1" applyAlignment="1">
      <alignment horizontal="right" vertical="center"/>
    </xf>
    <xf numFmtId="0" fontId="0" fillId="2" borderId="13" xfId="0" applyFill="1" applyBorder="1" applyAlignment="1">
      <alignment horizontal="right" vertical="center"/>
    </xf>
    <xf numFmtId="0" fontId="0" fillId="2" borderId="12" xfId="0" applyFill="1" applyBorder="1" applyAlignment="1">
      <alignment horizontal="right" vertical="center"/>
    </xf>
    <xf numFmtId="177" fontId="0" fillId="0" borderId="2" xfId="0" applyNumberFormat="1" applyBorder="1" applyAlignment="1">
      <alignment horizontal="right" vertical="center"/>
    </xf>
    <xf numFmtId="177" fontId="0" fillId="0" borderId="4" xfId="0" applyNumberFormat="1" applyBorder="1" applyAlignment="1">
      <alignment horizontal="right" vertical="center"/>
    </xf>
    <xf numFmtId="176" fontId="0" fillId="0" borderId="7" xfId="1" applyNumberFormat="1" applyFont="1" applyBorder="1" applyAlignment="1">
      <alignment horizontal="right" vertical="center"/>
    </xf>
    <xf numFmtId="0" fontId="0" fillId="3" borderId="0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4" borderId="11" xfId="0" applyFill="1" applyBorder="1" applyAlignment="1">
      <alignment horizontal="right" vertical="center"/>
    </xf>
    <xf numFmtId="0" fontId="0" fillId="4" borderId="13" xfId="0" applyFill="1" applyBorder="1" applyAlignment="1">
      <alignment horizontal="right" vertical="center"/>
    </xf>
    <xf numFmtId="0" fontId="0" fillId="4" borderId="12" xfId="0" applyFill="1" applyBorder="1" applyAlignment="1">
      <alignment horizontal="right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27"/>
  <sheetViews>
    <sheetView showGridLines="0" workbookViewId="0">
      <selection activeCell="C15" sqref="C15"/>
    </sheetView>
  </sheetViews>
  <sheetFormatPr defaultRowHeight="16.5" x14ac:dyDescent="0.3"/>
  <cols>
    <col min="1" max="1" width="9.140625" style="1"/>
    <col min="2" max="2" width="17.5703125" style="1" bestFit="1" customWidth="1"/>
    <col min="3" max="3" width="30.42578125" style="1" bestFit="1" customWidth="1"/>
    <col min="4" max="5" width="9.140625" style="1"/>
    <col min="6" max="6" width="10.28515625" style="1" bestFit="1" customWidth="1"/>
    <col min="7" max="7" width="6" style="1" bestFit="1" customWidth="1"/>
    <col min="8" max="8" width="10.28515625" style="1" bestFit="1" customWidth="1"/>
    <col min="9" max="9" width="11.85546875" style="1" bestFit="1" customWidth="1"/>
    <col min="10" max="10" width="14.28515625" style="1" bestFit="1" customWidth="1"/>
    <col min="11" max="11" width="9.140625" style="1"/>
    <col min="12" max="12" width="12.28515625" style="1" bestFit="1" customWidth="1"/>
    <col min="13" max="16384" width="9.140625" style="1"/>
  </cols>
  <sheetData>
    <row r="2" spans="2:12" x14ac:dyDescent="0.3">
      <c r="B2" s="18" t="s">
        <v>0</v>
      </c>
      <c r="F2" s="18" t="s">
        <v>9</v>
      </c>
    </row>
    <row r="3" spans="2:12" x14ac:dyDescent="0.3">
      <c r="B3" s="16" t="s">
        <v>17</v>
      </c>
      <c r="C3" s="19">
        <v>38246</v>
      </c>
      <c r="F3" s="12" t="s">
        <v>10</v>
      </c>
      <c r="G3" s="13" t="s">
        <v>11</v>
      </c>
      <c r="H3" s="13" t="s">
        <v>12</v>
      </c>
      <c r="I3" s="13" t="s">
        <v>13</v>
      </c>
      <c r="J3" s="14" t="s">
        <v>16</v>
      </c>
      <c r="L3" s="17" t="s">
        <v>9</v>
      </c>
    </row>
    <row r="4" spans="2:12" x14ac:dyDescent="0.3">
      <c r="B4" s="22" t="s">
        <v>18</v>
      </c>
      <c r="C4" s="20">
        <v>41167</v>
      </c>
      <c r="F4" s="3" t="s">
        <v>14</v>
      </c>
      <c r="G4" s="4">
        <v>100</v>
      </c>
      <c r="H4" s="4" t="s">
        <v>15</v>
      </c>
      <c r="I4" s="5">
        <v>38975</v>
      </c>
      <c r="J4" s="6" t="str">
        <f>_xll.CALCallability(IF(H4="Call","赎回","回售")&amp;"_"&amp;TEXT(I4,"YYYYMMDD"),F4,G4,H4,I4)</f>
        <v>赎回_20060915</v>
      </c>
      <c r="L4" s="15" t="str">
        <f>_xll.CALCallabilitySchedule(L3,J4:J27,,,TRUE)</f>
        <v>行权日程</v>
      </c>
    </row>
    <row r="5" spans="2:12" x14ac:dyDescent="0.3">
      <c r="B5" s="22" t="s">
        <v>19</v>
      </c>
      <c r="C5" s="6">
        <v>3</v>
      </c>
      <c r="F5" s="3" t="s">
        <v>14</v>
      </c>
      <c r="G5" s="4">
        <v>100</v>
      </c>
      <c r="H5" s="4" t="s">
        <v>15</v>
      </c>
      <c r="I5" s="5">
        <f>_xll.CALCalendarAdvance("NullCalendar",I4,"3M")</f>
        <v>39066</v>
      </c>
      <c r="J5" s="6" t="str">
        <f>_xll.CALCallability(IF(H5="Call","赎回","回售")&amp;"_"&amp;TEXT(I5,"YYYYMMDD"),F5,G5,H5,I5)</f>
        <v>赎回_20061215</v>
      </c>
    </row>
    <row r="6" spans="2:12" x14ac:dyDescent="0.3">
      <c r="B6" s="22" t="s">
        <v>20</v>
      </c>
      <c r="C6" s="6" t="s">
        <v>21</v>
      </c>
      <c r="F6" s="3" t="s">
        <v>14</v>
      </c>
      <c r="G6" s="4">
        <v>100</v>
      </c>
      <c r="H6" s="4" t="s">
        <v>15</v>
      </c>
      <c r="I6" s="5">
        <f>_xll.CALCalendarAdvance("NullCalendar",I5,"3M")</f>
        <v>39156</v>
      </c>
      <c r="J6" s="6" t="str">
        <f>_xll.CALCallability(IF(H6="Call","赎回","回售")&amp;"_"&amp;TEXT(I6,"YYYYMMDD"),F6,G6,H6,I6)</f>
        <v>赎回_20070315</v>
      </c>
    </row>
    <row r="7" spans="2:12" x14ac:dyDescent="0.3">
      <c r="B7" s="22" t="s">
        <v>22</v>
      </c>
      <c r="C7" s="21">
        <v>4.65E-2</v>
      </c>
      <c r="F7" s="3" t="s">
        <v>14</v>
      </c>
      <c r="G7" s="4">
        <v>100</v>
      </c>
      <c r="H7" s="4" t="s">
        <v>15</v>
      </c>
      <c r="I7" s="5">
        <f>_xll.CALCalendarAdvance("NullCalendar",I6,"3M")</f>
        <v>39248</v>
      </c>
      <c r="J7" s="6" t="str">
        <f>_xll.CALCallability(IF(H7="Call","赎回","回售")&amp;"_"&amp;TEXT(I7,"YYYYMMDD"),F7,G7,H7,I7)</f>
        <v>赎回_20070615</v>
      </c>
    </row>
    <row r="8" spans="2:12" x14ac:dyDescent="0.3">
      <c r="B8" s="22" t="s">
        <v>23</v>
      </c>
      <c r="C8" s="6" t="s">
        <v>24</v>
      </c>
      <c r="F8" s="3" t="s">
        <v>14</v>
      </c>
      <c r="G8" s="4">
        <v>100</v>
      </c>
      <c r="H8" s="4" t="s">
        <v>15</v>
      </c>
      <c r="I8" s="5">
        <f>_xll.CALCalendarAdvance("NullCalendar",I7,"3M")</f>
        <v>39340</v>
      </c>
      <c r="J8" s="6" t="str">
        <f>_xll.CALCallability(IF(H8="Call","赎回","回售")&amp;"_"&amp;TEXT(I8,"YYYYMMDD"),F8,G8,H8,I8)</f>
        <v>赎回_20070915</v>
      </c>
    </row>
    <row r="9" spans="2:12" x14ac:dyDescent="0.3">
      <c r="B9" s="22" t="s">
        <v>25</v>
      </c>
      <c r="C9" s="6">
        <v>100</v>
      </c>
      <c r="F9" s="3" t="s">
        <v>14</v>
      </c>
      <c r="G9" s="4">
        <v>100</v>
      </c>
      <c r="H9" s="4" t="s">
        <v>15</v>
      </c>
      <c r="I9" s="5">
        <f>_xll.CALCalendarAdvance("NullCalendar",I8,"3M")</f>
        <v>39431</v>
      </c>
      <c r="J9" s="6" t="str">
        <f>_xll.CALCallability(IF(H9="Call","赎回","回售")&amp;"_"&amp;TEXT(I9,"YYYYMMDD"),F9,G9,H9,I9)</f>
        <v>赎回_20071215</v>
      </c>
    </row>
    <row r="10" spans="2:12" x14ac:dyDescent="0.3">
      <c r="B10" s="22" t="s">
        <v>26</v>
      </c>
      <c r="C10" s="6">
        <v>100</v>
      </c>
      <c r="F10" s="3" t="s">
        <v>14</v>
      </c>
      <c r="G10" s="4">
        <v>100</v>
      </c>
      <c r="H10" s="4" t="s">
        <v>15</v>
      </c>
      <c r="I10" s="5">
        <f>_xll.CALCalendarAdvance("NullCalendar",I9,"3M")</f>
        <v>39522</v>
      </c>
      <c r="J10" s="6" t="str">
        <f>_xll.CALCallability(IF(H10="Call","赎回","回售")&amp;"_"&amp;TEXT(I10,"YYYYMMDD"),F10,G10,H10,I10)</f>
        <v>赎回_20080315</v>
      </c>
    </row>
    <row r="11" spans="2:12" x14ac:dyDescent="0.3">
      <c r="B11" s="22" t="s">
        <v>3</v>
      </c>
      <c r="C11" s="6" t="s">
        <v>4</v>
      </c>
      <c r="F11" s="3" t="s">
        <v>14</v>
      </c>
      <c r="G11" s="4">
        <v>100</v>
      </c>
      <c r="H11" s="4" t="s">
        <v>15</v>
      </c>
      <c r="I11" s="5">
        <f>_xll.CALCalendarAdvance("NullCalendar",I10,"3M")</f>
        <v>39614</v>
      </c>
      <c r="J11" s="6" t="str">
        <f>_xll.CALCallability(IF(H11="Call","赎回","回售")&amp;"_"&amp;TEXT(I11,"YYYYMMDD"),F11,G11,H11,I11)</f>
        <v>赎回_20080615</v>
      </c>
    </row>
    <row r="12" spans="2:12" x14ac:dyDescent="0.3">
      <c r="B12" s="22" t="s">
        <v>27</v>
      </c>
      <c r="C12" s="6" t="s">
        <v>29</v>
      </c>
      <c r="F12" s="3" t="s">
        <v>14</v>
      </c>
      <c r="G12" s="4">
        <v>100</v>
      </c>
      <c r="H12" s="4" t="s">
        <v>15</v>
      </c>
      <c r="I12" s="5">
        <f>_xll.CALCalendarAdvance("NullCalendar",I11,"3M")</f>
        <v>39706</v>
      </c>
      <c r="J12" s="6" t="str">
        <f>_xll.CALCallability(IF(H12="Call","赎回","回售")&amp;"_"&amp;TEXT(I12,"YYYYMMDD"),F12,G12,H12,I12)</f>
        <v>赎回_20080915</v>
      </c>
    </row>
    <row r="13" spans="2:12" x14ac:dyDescent="0.3">
      <c r="B13" s="23" t="s">
        <v>28</v>
      </c>
      <c r="C13" s="10" t="s">
        <v>29</v>
      </c>
      <c r="F13" s="3" t="s">
        <v>14</v>
      </c>
      <c r="G13" s="4">
        <v>100</v>
      </c>
      <c r="H13" s="4" t="s">
        <v>15</v>
      </c>
      <c r="I13" s="5">
        <f>_xll.CALCalendarAdvance("NullCalendar",I12,"3M")</f>
        <v>39797</v>
      </c>
      <c r="J13" s="6" t="str">
        <f>_xll.CALCallability(IF(H13="Call","赎回","回售")&amp;"_"&amp;TEXT(I13,"YYYYMMDD"),F13,G13,H13,I13)</f>
        <v>赎回_20081215</v>
      </c>
    </row>
    <row r="14" spans="2:12" x14ac:dyDescent="0.3">
      <c r="F14" s="3" t="s">
        <v>14</v>
      </c>
      <c r="G14" s="4">
        <v>100</v>
      </c>
      <c r="H14" s="4" t="s">
        <v>15</v>
      </c>
      <c r="I14" s="5">
        <f>_xll.CALCalendarAdvance("NullCalendar",I13,"3M")</f>
        <v>39887</v>
      </c>
      <c r="J14" s="6" t="str">
        <f>_xll.CALCallability(IF(H14="Call","赎回","回售")&amp;"_"&amp;TEXT(I14,"YYYYMMDD"),F14,G14,H14,I14)</f>
        <v>赎回_20090315</v>
      </c>
    </row>
    <row r="15" spans="2:12" x14ac:dyDescent="0.3">
      <c r="B15" s="17" t="s">
        <v>30</v>
      </c>
      <c r="C15" s="11" t="str">
        <f>_xll.CALSchedule(B15,C3,C4,IF(C8="Quarterly","3M",IF(C8="Semiannual","6M","1Y")),C6,C12,C12,,,,,,,TRUE)</f>
        <v>债券日程</v>
      </c>
      <c r="F15" s="3" t="s">
        <v>14</v>
      </c>
      <c r="G15" s="4">
        <v>100</v>
      </c>
      <c r="H15" s="4" t="s">
        <v>15</v>
      </c>
      <c r="I15" s="5">
        <f>_xll.CALCalendarAdvance("NullCalendar",I14,"3M")</f>
        <v>39979</v>
      </c>
      <c r="J15" s="6" t="str">
        <f>_xll.CALCallability(IF(H15="Call","赎回","回售")&amp;"_"&amp;TEXT(I15,"YYYYMMDD"),F15,G15,H15,I15)</f>
        <v>赎回_20090615</v>
      </c>
    </row>
    <row r="16" spans="2:12" x14ac:dyDescent="0.3">
      <c r="F16" s="3" t="s">
        <v>14</v>
      </c>
      <c r="G16" s="4">
        <v>100</v>
      </c>
      <c r="H16" s="4" t="s">
        <v>15</v>
      </c>
      <c r="I16" s="5">
        <f>_xll.CALCalendarAdvance("NullCalendar",I15,"3M")</f>
        <v>40071</v>
      </c>
      <c r="J16" s="6" t="str">
        <f>_xll.CALCallability(IF(H16="Call","赎回","回售")&amp;"_"&amp;TEXT(I16,"YYYYMMDD"),F16,G16,H16,I16)</f>
        <v>赎回_20090915</v>
      </c>
    </row>
    <row r="17" spans="6:10" x14ac:dyDescent="0.3">
      <c r="F17" s="3" t="s">
        <v>14</v>
      </c>
      <c r="G17" s="4">
        <v>100</v>
      </c>
      <c r="H17" s="4" t="s">
        <v>15</v>
      </c>
      <c r="I17" s="5">
        <f>_xll.CALCalendarAdvance("NullCalendar",I16,"3M")</f>
        <v>40162</v>
      </c>
      <c r="J17" s="6" t="str">
        <f>_xll.CALCallability(IF(H17="Call","赎回","回售")&amp;"_"&amp;TEXT(I17,"YYYYMMDD"),F17,G17,H17,I17)</f>
        <v>赎回_20091215</v>
      </c>
    </row>
    <row r="18" spans="6:10" x14ac:dyDescent="0.3">
      <c r="F18" s="3" t="s">
        <v>14</v>
      </c>
      <c r="G18" s="4">
        <v>100</v>
      </c>
      <c r="H18" s="4" t="s">
        <v>15</v>
      </c>
      <c r="I18" s="5">
        <f>_xll.CALCalendarAdvance("NullCalendar",I17,"3M")</f>
        <v>40252</v>
      </c>
      <c r="J18" s="6" t="str">
        <f>_xll.CALCallability(IF(H18="Call","赎回","回售")&amp;"_"&amp;TEXT(I18,"YYYYMMDD"),F18,G18,H18,I18)</f>
        <v>赎回_20100315</v>
      </c>
    </row>
    <row r="19" spans="6:10" x14ac:dyDescent="0.3">
      <c r="F19" s="3" t="s">
        <v>14</v>
      </c>
      <c r="G19" s="4">
        <v>100</v>
      </c>
      <c r="H19" s="4" t="s">
        <v>15</v>
      </c>
      <c r="I19" s="5">
        <f>_xll.CALCalendarAdvance("NullCalendar",I18,"3M")</f>
        <v>40344</v>
      </c>
      <c r="J19" s="6" t="str">
        <f>_xll.CALCallability(IF(H19="Call","赎回","回售")&amp;"_"&amp;TEXT(I19,"YYYYMMDD"),F19,G19,H19,I19)</f>
        <v>赎回_20100615</v>
      </c>
    </row>
    <row r="20" spans="6:10" x14ac:dyDescent="0.3">
      <c r="F20" s="3" t="s">
        <v>14</v>
      </c>
      <c r="G20" s="4">
        <v>100</v>
      </c>
      <c r="H20" s="4" t="s">
        <v>15</v>
      </c>
      <c r="I20" s="5">
        <f>_xll.CALCalendarAdvance("NullCalendar",I19,"3M")</f>
        <v>40436</v>
      </c>
      <c r="J20" s="6" t="str">
        <f>_xll.CALCallability(IF(H20="Call","赎回","回售")&amp;"_"&amp;TEXT(I20,"YYYYMMDD"),F20,G20,H20,I20)</f>
        <v>赎回_20100915</v>
      </c>
    </row>
    <row r="21" spans="6:10" x14ac:dyDescent="0.3">
      <c r="F21" s="3" t="s">
        <v>14</v>
      </c>
      <c r="G21" s="4">
        <v>100</v>
      </c>
      <c r="H21" s="4" t="s">
        <v>15</v>
      </c>
      <c r="I21" s="5">
        <f>_xll.CALCalendarAdvance("NullCalendar",I20,"3M")</f>
        <v>40527</v>
      </c>
      <c r="J21" s="6" t="str">
        <f>_xll.CALCallability(IF(H21="Call","赎回","回售")&amp;"_"&amp;TEXT(I21,"YYYYMMDD"),F21,G21,H21,I21)</f>
        <v>赎回_20101215</v>
      </c>
    </row>
    <row r="22" spans="6:10" x14ac:dyDescent="0.3">
      <c r="F22" s="3" t="s">
        <v>14</v>
      </c>
      <c r="G22" s="4">
        <v>100</v>
      </c>
      <c r="H22" s="4" t="s">
        <v>15</v>
      </c>
      <c r="I22" s="5">
        <f>_xll.CALCalendarAdvance("NullCalendar",I21,"3M")</f>
        <v>40617</v>
      </c>
      <c r="J22" s="6" t="str">
        <f>_xll.CALCallability(IF(H22="Call","赎回","回售")&amp;"_"&amp;TEXT(I22,"YYYYMMDD"),F22,G22,H22,I22)</f>
        <v>赎回_20110315</v>
      </c>
    </row>
    <row r="23" spans="6:10" x14ac:dyDescent="0.3">
      <c r="F23" s="3" t="s">
        <v>14</v>
      </c>
      <c r="G23" s="4">
        <v>100</v>
      </c>
      <c r="H23" s="4" t="s">
        <v>15</v>
      </c>
      <c r="I23" s="5">
        <f>_xll.CALCalendarAdvance("NullCalendar",I22,"3M")</f>
        <v>40709</v>
      </c>
      <c r="J23" s="6" t="str">
        <f>_xll.CALCallability(IF(H23="Call","赎回","回售")&amp;"_"&amp;TEXT(I23,"YYYYMMDD"),F23,G23,H23,I23)</f>
        <v>赎回_20110615</v>
      </c>
    </row>
    <row r="24" spans="6:10" x14ac:dyDescent="0.3">
      <c r="F24" s="3" t="s">
        <v>14</v>
      </c>
      <c r="G24" s="4">
        <v>100</v>
      </c>
      <c r="H24" s="4" t="s">
        <v>15</v>
      </c>
      <c r="I24" s="5">
        <f>_xll.CALCalendarAdvance("NullCalendar",I23,"3M")</f>
        <v>40801</v>
      </c>
      <c r="J24" s="6" t="str">
        <f>_xll.CALCallability(IF(H24="Call","赎回","回售")&amp;"_"&amp;TEXT(I24,"YYYYMMDD"),F24,G24,H24,I24)</f>
        <v>赎回_20110915</v>
      </c>
    </row>
    <row r="25" spans="6:10" x14ac:dyDescent="0.3">
      <c r="F25" s="3" t="s">
        <v>14</v>
      </c>
      <c r="G25" s="4">
        <v>100</v>
      </c>
      <c r="H25" s="4" t="s">
        <v>15</v>
      </c>
      <c r="I25" s="5">
        <f>_xll.CALCalendarAdvance("NullCalendar",I24,"3M")</f>
        <v>40892</v>
      </c>
      <c r="J25" s="6" t="str">
        <f>_xll.CALCallability(IF(H25="Call","赎回","回售")&amp;"_"&amp;TEXT(I25,"YYYYMMDD"),F25,G25,H25,I25)</f>
        <v>赎回_20111215</v>
      </c>
    </row>
    <row r="26" spans="6:10" x14ac:dyDescent="0.3">
      <c r="F26" s="3" t="s">
        <v>14</v>
      </c>
      <c r="G26" s="4">
        <v>100</v>
      </c>
      <c r="H26" s="4" t="s">
        <v>15</v>
      </c>
      <c r="I26" s="5">
        <f>_xll.CALCalendarAdvance("NullCalendar",I25,"3M")</f>
        <v>40983</v>
      </c>
      <c r="J26" s="6" t="str">
        <f>_xll.CALCallability(IF(H26="Call","赎回","回售")&amp;"_"&amp;TEXT(I26,"YYYYMMDD"),F26,G26,H26,I26)</f>
        <v>赎回_20120315</v>
      </c>
    </row>
    <row r="27" spans="6:10" x14ac:dyDescent="0.3">
      <c r="F27" s="7" t="s">
        <v>14</v>
      </c>
      <c r="G27" s="8">
        <v>100</v>
      </c>
      <c r="H27" s="8" t="s">
        <v>15</v>
      </c>
      <c r="I27" s="9">
        <f>_xll.CALCalendarAdvance("NullCalendar",I26,"3M")</f>
        <v>41075</v>
      </c>
      <c r="J27" s="10" t="str">
        <f>_xll.CALCallability(IF(H27="Call","赎回","回售")&amp;"_"&amp;TEXT(I27,"YYYYMMDD"),F27,G27,H27,I27)</f>
        <v>赎回_20120615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D10"/>
  <sheetViews>
    <sheetView showGridLines="0" workbookViewId="0">
      <selection activeCell="C10" sqref="C10"/>
    </sheetView>
  </sheetViews>
  <sheetFormatPr defaultRowHeight="16.5" x14ac:dyDescent="0.3"/>
  <cols>
    <col min="1" max="1" width="9.140625" style="1"/>
    <col min="2" max="2" width="17.5703125" style="1" bestFit="1" customWidth="1"/>
    <col min="3" max="3" width="20.7109375" style="1" bestFit="1" customWidth="1"/>
    <col min="4" max="16384" width="9.140625" style="1"/>
  </cols>
  <sheetData>
    <row r="3" spans="2:4" x14ac:dyDescent="0.3">
      <c r="B3" s="18" t="s">
        <v>32</v>
      </c>
    </row>
    <row r="4" spans="2:4" x14ac:dyDescent="0.3">
      <c r="B4" s="16" t="s">
        <v>1</v>
      </c>
      <c r="C4" s="19">
        <v>39371</v>
      </c>
      <c r="D4" s="1" t="b">
        <f>_xll.CALSettingsSetEvaluationDate(C4)</f>
        <v>1</v>
      </c>
    </row>
    <row r="5" spans="2:4" x14ac:dyDescent="0.3">
      <c r="B5" s="22" t="s">
        <v>2</v>
      </c>
      <c r="C5" s="21">
        <v>5.5E-2</v>
      </c>
    </row>
    <row r="6" spans="2:4" x14ac:dyDescent="0.3">
      <c r="B6" s="22" t="s">
        <v>3</v>
      </c>
      <c r="C6" s="6" t="s">
        <v>4</v>
      </c>
    </row>
    <row r="7" spans="2:4" x14ac:dyDescent="0.3">
      <c r="B7" s="22" t="s">
        <v>5</v>
      </c>
      <c r="C7" s="6" t="s">
        <v>6</v>
      </c>
    </row>
    <row r="8" spans="2:4" x14ac:dyDescent="0.3">
      <c r="B8" s="23" t="s">
        <v>7</v>
      </c>
      <c r="C8" s="10" t="s">
        <v>8</v>
      </c>
    </row>
    <row r="10" spans="2:4" x14ac:dyDescent="0.3">
      <c r="B10" s="17" t="s">
        <v>31</v>
      </c>
      <c r="C10" s="11" t="str">
        <f>_xll.CALRelinkableHandleYieldTermStructure("SampleYieldCurve",_xll.CALFlatForward("远期平坦",,,C5,C6,C7,C8,,,TRUE),,,TRUE)</f>
        <v>SampleYieldCurve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35"/>
  <sheetViews>
    <sheetView showGridLines="0" tabSelected="1" workbookViewId="0">
      <selection activeCell="B4" sqref="B4"/>
    </sheetView>
  </sheetViews>
  <sheetFormatPr defaultRowHeight="16.5" x14ac:dyDescent="0.3"/>
  <cols>
    <col min="1" max="1" width="9.140625" style="1"/>
    <col min="2" max="2" width="12.7109375" style="1" bestFit="1" customWidth="1"/>
    <col min="3" max="3" width="9.140625" style="1"/>
    <col min="4" max="4" width="25.85546875" style="1" bestFit="1" customWidth="1"/>
    <col min="5" max="5" width="22.140625" style="1" bestFit="1" customWidth="1"/>
    <col min="6" max="6" width="23" style="1" bestFit="1" customWidth="1"/>
    <col min="7" max="7" width="20.85546875" style="1" customWidth="1"/>
    <col min="8" max="8" width="11.140625" style="1" bestFit="1" customWidth="1"/>
    <col min="9" max="9" width="13.5703125" style="1" bestFit="1" customWidth="1"/>
    <col min="10" max="16384" width="9.140625" style="1"/>
  </cols>
  <sheetData>
    <row r="2" spans="2:9" x14ac:dyDescent="0.3">
      <c r="B2" s="28" t="s">
        <v>33</v>
      </c>
      <c r="D2" s="18" t="s">
        <v>34</v>
      </c>
      <c r="E2" s="1" t="s">
        <v>35</v>
      </c>
      <c r="H2" s="1" t="s">
        <v>42</v>
      </c>
    </row>
    <row r="3" spans="2:9" x14ac:dyDescent="0.3">
      <c r="B3" s="15" t="str">
        <f>_xll.CALCallableFixedRateBond("SampleBond",,"USD",债券信息!C5,债券信息!C9,债券信息!C15,债券信息!C7,债券信息!C11,债券信息!C13,债券信息!C10,债券信息!C3,债券信息!L4,,,TRUE)</f>
        <v>SampleBond</v>
      </c>
      <c r="E3" s="29" t="s">
        <v>36</v>
      </c>
      <c r="F3" s="2" t="str">
        <f>市场信息!$C$10</f>
        <v>SampleYieldCurve</v>
      </c>
      <c r="H3" s="29"/>
      <c r="I3" s="2" t="b">
        <f>_xll.CALInstrumentSetPricingEngine($B$3,F8)</f>
        <v>1</v>
      </c>
    </row>
    <row r="4" spans="2:9" x14ac:dyDescent="0.3">
      <c r="E4" s="30" t="s">
        <v>37</v>
      </c>
      <c r="F4" s="21">
        <v>0.05</v>
      </c>
      <c r="H4" s="29" t="s">
        <v>43</v>
      </c>
      <c r="I4" s="24">
        <f>_xll.CALInstrumentNPV(B3)</f>
        <v>93.794413775696697</v>
      </c>
    </row>
    <row r="5" spans="2:9" x14ac:dyDescent="0.3">
      <c r="E5" s="30" t="s">
        <v>38</v>
      </c>
      <c r="F5" s="6">
        <v>0.5</v>
      </c>
      <c r="H5" s="30" t="s">
        <v>44</v>
      </c>
      <c r="I5" s="25">
        <f>_xll.CALBondCleanPrice(B3)</f>
        <v>93.360073116356048</v>
      </c>
    </row>
    <row r="6" spans="2:9" x14ac:dyDescent="0.3">
      <c r="E6" s="31" t="s">
        <v>39</v>
      </c>
      <c r="F6" s="10">
        <v>500</v>
      </c>
      <c r="H6" s="31" t="s">
        <v>45</v>
      </c>
      <c r="I6" s="26">
        <f>_xll.CALBondYieldFromCleanPrice(B3,I5,"Actual/365 (Fixed)","Continuous","Annual",,,,,TRUE)</f>
        <v>6.1757278834108885E-2</v>
      </c>
    </row>
    <row r="7" spans="2:9" x14ac:dyDescent="0.3">
      <c r="E7" s="29" t="s">
        <v>40</v>
      </c>
      <c r="F7" s="2" t="str">
        <f>_xll.CALHullWhiteShortRate("HullWhite",F3,F5,F4,,,TRUE)</f>
        <v>HullWhite</v>
      </c>
    </row>
    <row r="8" spans="2:9" x14ac:dyDescent="0.3">
      <c r="E8" s="31" t="s">
        <v>41</v>
      </c>
      <c r="F8" s="10" t="str">
        <f>_xll.CALTreeCallableFixedRateBondEngine("HW"&amp;E8,F7,F6,,,,TRUE)</f>
        <v>HW计算引擎</v>
      </c>
    </row>
    <row r="11" spans="2:9" x14ac:dyDescent="0.3">
      <c r="D11" s="18" t="s">
        <v>46</v>
      </c>
      <c r="E11" s="27" t="s">
        <v>35</v>
      </c>
      <c r="H11" s="1" t="s">
        <v>42</v>
      </c>
    </row>
    <row r="12" spans="2:9" x14ac:dyDescent="0.3">
      <c r="E12" s="29" t="s">
        <v>36</v>
      </c>
      <c r="F12" s="2" t="str">
        <f>市场信息!$C$10</f>
        <v>SampleYieldCurve</v>
      </c>
      <c r="H12" s="29"/>
      <c r="I12" s="2" t="b">
        <f>_xll.CALInstrumentSetPricingEngine($B$3,F17)</f>
        <v>1</v>
      </c>
    </row>
    <row r="13" spans="2:9" x14ac:dyDescent="0.3">
      <c r="E13" s="30" t="s">
        <v>37</v>
      </c>
      <c r="F13" s="21">
        <v>0.9</v>
      </c>
      <c r="H13" s="29" t="s">
        <v>43</v>
      </c>
      <c r="I13" s="24">
        <f>_xll.CALInstrumentNPV($B$3)</f>
        <v>95.444841414340686</v>
      </c>
    </row>
    <row r="14" spans="2:9" x14ac:dyDescent="0.3">
      <c r="E14" s="30" t="s">
        <v>38</v>
      </c>
      <c r="F14" s="6">
        <v>0.5</v>
      </c>
      <c r="H14" s="30" t="s">
        <v>44</v>
      </c>
      <c r="I14" s="25">
        <f>_xll.CALBondCleanPrice($B$3)</f>
        <v>95.010500755000038</v>
      </c>
    </row>
    <row r="15" spans="2:9" x14ac:dyDescent="0.3">
      <c r="E15" s="31" t="s">
        <v>39</v>
      </c>
      <c r="F15" s="10">
        <v>500</v>
      </c>
      <c r="H15" s="31" t="s">
        <v>45</v>
      </c>
      <c r="I15" s="26">
        <f>_xll.CALBondYieldFromCleanPrice($B$3,I14,"Actual/365 (Fixed)","Continuous","Annual",,,,,TRUE)</f>
        <v>5.7776297233998769E-2</v>
      </c>
    </row>
    <row r="16" spans="2:9" x14ac:dyDescent="0.3">
      <c r="E16" s="29" t="s">
        <v>40</v>
      </c>
      <c r="F16" s="2" t="str">
        <f>_xll.CALBlackKarasinski("BlackKarasinski",F12,F14,F13,,,TRUE)</f>
        <v>BlackKarasinski</v>
      </c>
    </row>
    <row r="17" spans="4:9" x14ac:dyDescent="0.3">
      <c r="E17" s="31" t="s">
        <v>41</v>
      </c>
      <c r="F17" s="10" t="str">
        <f>_xll.CALTreeCallableFixedRateBondEngine("BK"&amp;E17,F16,F15,,,,TRUE)</f>
        <v>BK计算引擎</v>
      </c>
    </row>
    <row r="19" spans="4:9" x14ac:dyDescent="0.3">
      <c r="D19" s="18" t="s">
        <v>47</v>
      </c>
      <c r="E19" s="27" t="s">
        <v>35</v>
      </c>
      <c r="H19" s="1" t="s">
        <v>42</v>
      </c>
    </row>
    <row r="20" spans="4:9" x14ac:dyDescent="0.3">
      <c r="E20" s="29" t="s">
        <v>36</v>
      </c>
      <c r="F20" s="2" t="str">
        <f>市场信息!$C$10</f>
        <v>SampleYieldCurve</v>
      </c>
      <c r="H20" s="29"/>
      <c r="I20" s="2" t="b">
        <f>_xll.CALInstrumentSetPricingEngine($B$3,F27)</f>
        <v>1</v>
      </c>
    </row>
    <row r="21" spans="4:9" x14ac:dyDescent="0.3">
      <c r="E21" s="30" t="s">
        <v>48</v>
      </c>
      <c r="F21" s="21">
        <v>5.5E-2</v>
      </c>
      <c r="H21" s="29" t="s">
        <v>43</v>
      </c>
      <c r="I21" s="24">
        <f>_xll.CALInstrumentNPV($B$3)</f>
        <v>95.444841414340686</v>
      </c>
    </row>
    <row r="22" spans="4:9" x14ac:dyDescent="0.3">
      <c r="E22" s="30" t="s">
        <v>38</v>
      </c>
      <c r="F22" s="6">
        <v>0.5</v>
      </c>
      <c r="H22" s="30" t="s">
        <v>44</v>
      </c>
      <c r="I22" s="25">
        <f>_xll.CALBondCleanPrice($B$3)</f>
        <v>95.010500755000038</v>
      </c>
    </row>
    <row r="23" spans="4:9" x14ac:dyDescent="0.3">
      <c r="E23" s="30" t="s">
        <v>37</v>
      </c>
      <c r="F23" s="21">
        <v>0.15</v>
      </c>
      <c r="H23" s="31" t="s">
        <v>45</v>
      </c>
      <c r="I23" s="26">
        <f>_xll.CALBondYieldFromCleanPrice($B$3,I22,"Actual/365 (Fixed)","Continuous","Annual",,,,,TRUE)</f>
        <v>5.7776297233998769E-2</v>
      </c>
    </row>
    <row r="24" spans="4:9" x14ac:dyDescent="0.3">
      <c r="E24" s="30" t="s">
        <v>49</v>
      </c>
      <c r="F24" s="21">
        <v>5.5E-2</v>
      </c>
    </row>
    <row r="25" spans="4:9" x14ac:dyDescent="0.3">
      <c r="E25" s="31" t="s">
        <v>39</v>
      </c>
      <c r="F25" s="10">
        <v>500</v>
      </c>
    </row>
    <row r="26" spans="4:9" x14ac:dyDescent="0.3">
      <c r="E26" s="29" t="s">
        <v>40</v>
      </c>
      <c r="F26" s="2" t="str">
        <f>_xll.CALExtendedCIRShortRate("ExtendedCIR",F20,F24,F22,F23,F24,,,TRUE)</f>
        <v>ExtendedCIR</v>
      </c>
      <c r="G26" s="1" t="str">
        <f>_xll.ohRangeRetrieveError(F26)</f>
        <v/>
      </c>
    </row>
    <row r="27" spans="4:9" x14ac:dyDescent="0.3">
      <c r="E27" s="31" t="s">
        <v>41</v>
      </c>
      <c r="F27" s="10" t="str">
        <f>_xll.CALTreeCallableFixedRateBondEngine("ExtendedCIR"&amp;E27,F26,F25,,,,TRUE)</f>
        <v>ExtendedCIR计算引擎</v>
      </c>
    </row>
    <row r="29" spans="4:9" x14ac:dyDescent="0.3">
      <c r="D29" s="18" t="s">
        <v>50</v>
      </c>
      <c r="E29" s="1" t="s">
        <v>35</v>
      </c>
      <c r="H29" s="1" t="s">
        <v>42</v>
      </c>
    </row>
    <row r="30" spans="4:9" x14ac:dyDescent="0.3">
      <c r="E30" s="29" t="s">
        <v>36</v>
      </c>
      <c r="F30" s="2" t="str">
        <f>市场信息!$C$10</f>
        <v>SampleYieldCurve</v>
      </c>
      <c r="H30" s="29"/>
      <c r="I30" s="2" t="b">
        <f>_xll.CALInstrumentSetPricingEngine($B$3,F35)</f>
        <v>1</v>
      </c>
    </row>
    <row r="31" spans="4:9" x14ac:dyDescent="0.3">
      <c r="E31" s="30" t="s">
        <v>37</v>
      </c>
      <c r="F31" s="21">
        <v>0.05</v>
      </c>
      <c r="H31" s="29" t="s">
        <v>43</v>
      </c>
      <c r="I31" s="24">
        <f>_xll.CALInstrumentNPV($B$3)</f>
        <v>95.444841414340686</v>
      </c>
    </row>
    <row r="32" spans="4:9" x14ac:dyDescent="0.3">
      <c r="E32" s="30" t="s">
        <v>38</v>
      </c>
      <c r="F32" s="6">
        <v>0.5</v>
      </c>
      <c r="H32" s="30" t="s">
        <v>44</v>
      </c>
      <c r="I32" s="25">
        <f>_xll.CALBondCleanPrice($B$3)</f>
        <v>95.010500755000038</v>
      </c>
    </row>
    <row r="33" spans="5:9" x14ac:dyDescent="0.3">
      <c r="E33" s="31" t="s">
        <v>39</v>
      </c>
      <c r="F33" s="10">
        <v>500</v>
      </c>
      <c r="H33" s="31" t="s">
        <v>45</v>
      </c>
      <c r="I33" s="26">
        <f>_xll.CALBondYieldFromCleanPrice($B$3,I32,"Actual/365 (Fixed)","Continuous","Annual",,,,,TRUE)</f>
        <v>5.7776297233998769E-2</v>
      </c>
    </row>
    <row r="34" spans="5:9" x14ac:dyDescent="0.3">
      <c r="E34" s="29" t="s">
        <v>40</v>
      </c>
      <c r="F34" s="2" t="str">
        <f>_xll.CALGeneralizedHullWhiteShortRate("GenerilizedHullWhite",F30,F32,F31,,,TRUE)</f>
        <v>GenerilizedHullWhite</v>
      </c>
    </row>
    <row r="35" spans="5:9" x14ac:dyDescent="0.3">
      <c r="E35" s="31" t="s">
        <v>41</v>
      </c>
      <c r="F35" s="10" t="str">
        <f>_xll.CALTreeCallableFixedRateBondEngine("GHW"&amp;E35,F34,F33,,,,TRUE)</f>
        <v>GHW计算引擎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债券信息</vt:lpstr>
      <vt:lpstr>市场信息</vt:lpstr>
      <vt:lpstr>定价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wegamekinglc</dc:creator>
  <cp:lastModifiedBy>DELL</cp:lastModifiedBy>
  <dcterms:created xsi:type="dcterms:W3CDTF">2014-01-26T01:34:15Z</dcterms:created>
  <dcterms:modified xsi:type="dcterms:W3CDTF">2014-07-02T09:17:43Z</dcterms:modified>
</cp:coreProperties>
</file>