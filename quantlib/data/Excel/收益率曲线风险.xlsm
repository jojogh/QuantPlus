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dev\silver\quantlib\data\Excel\"/>
    </mc:Choice>
  </mc:AlternateContent>
  <bookViews>
    <workbookView xWindow="11160" yWindow="0" windowWidth="19560" windowHeight="9600" activeTab="3"/>
  </bookViews>
  <sheets>
    <sheet name="基准互换曲线" sheetId="1" r:id="rId1"/>
    <sheet name="组合" sheetId="3" r:id="rId2"/>
    <sheet name="历史重置水平" sheetId="4" r:id="rId3"/>
    <sheet name="风险评估" sheetId="2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3" l="1"/>
  <c r="C10" i="3"/>
  <c r="C7" i="3"/>
  <c r="B37" i="2"/>
  <c r="B36" i="2"/>
  <c r="B2" i="2"/>
  <c r="B3" i="2"/>
  <c r="C3" i="4"/>
  <c r="G7" i="1"/>
  <c r="D2" i="1"/>
  <c r="E6" i="1"/>
  <c r="E18" i="1"/>
  <c r="E19" i="1"/>
  <c r="E16" i="1"/>
  <c r="E17" i="1"/>
  <c r="E14" i="1"/>
  <c r="E15" i="1"/>
  <c r="E12" i="1"/>
  <c r="E13" i="1"/>
  <c r="F14" i="1"/>
  <c r="E11" i="1"/>
  <c r="E8" i="1"/>
  <c r="J7" i="1"/>
  <c r="E9" i="1"/>
  <c r="E10" i="1"/>
  <c r="E7" i="1"/>
  <c r="I10" i="3" l="1"/>
  <c r="I12" i="3"/>
  <c r="I7" i="3"/>
  <c r="F10" i="3"/>
  <c r="F12" i="3"/>
  <c r="F18" i="1"/>
  <c r="B35" i="2"/>
  <c r="F16" i="1"/>
  <c r="F13" i="1"/>
  <c r="F8" i="1"/>
  <c r="F7" i="1"/>
  <c r="F6" i="1"/>
  <c r="B19" i="2"/>
  <c r="E3" i="4"/>
  <c r="F11" i="1"/>
  <c r="F17" i="1"/>
  <c r="F9" i="1"/>
  <c r="F15" i="1"/>
  <c r="D3" i="4"/>
  <c r="F12" i="1"/>
  <c r="F19" i="1"/>
  <c r="G18" i="1"/>
  <c r="F10" i="1"/>
  <c r="G10" i="1" s="1"/>
  <c r="G14" i="1"/>
  <c r="G6" i="1" l="1"/>
  <c r="G19" i="1"/>
  <c r="G13" i="1"/>
  <c r="G16" i="1"/>
  <c r="G8" i="1"/>
  <c r="G12" i="1"/>
  <c r="G9" i="1"/>
  <c r="G11" i="1"/>
  <c r="G17" i="1"/>
  <c r="G15" i="1"/>
  <c r="I11" i="1"/>
  <c r="C25" i="1"/>
  <c r="I24" i="1" a="1"/>
  <c r="H24" i="1" a="1"/>
  <c r="B38" i="2"/>
  <c r="D36" i="2"/>
  <c r="D37" i="2"/>
  <c r="F35" i="2" s="1" a="1"/>
  <c r="D19" i="2"/>
  <c r="D2" i="2"/>
  <c r="F2" i="2" s="1" a="1"/>
  <c r="D35" i="2"/>
  <c r="F2" i="2" l="1"/>
  <c r="F10" i="2"/>
  <c r="G4" i="2"/>
  <c r="G12" i="2"/>
  <c r="F7" i="2"/>
  <c r="F15" i="2"/>
  <c r="G9" i="2"/>
  <c r="F4" i="2"/>
  <c r="F12" i="2"/>
  <c r="G6" i="2"/>
  <c r="G14" i="2"/>
  <c r="F9" i="2"/>
  <c r="G3" i="2"/>
  <c r="G11" i="2"/>
  <c r="F6" i="2"/>
  <c r="F14" i="2"/>
  <c r="G8" i="2"/>
  <c r="F3" i="2"/>
  <c r="F11" i="2"/>
  <c r="G5" i="2"/>
  <c r="G13" i="2"/>
  <c r="F8" i="2"/>
  <c r="G2" i="2"/>
  <c r="F5" i="2"/>
  <c r="F13" i="2"/>
  <c r="G7" i="2"/>
  <c r="G15" i="2"/>
  <c r="G10" i="2"/>
  <c r="F35" i="2"/>
  <c r="F43" i="2"/>
  <c r="G37" i="2"/>
  <c r="G45" i="2"/>
  <c r="F40" i="2"/>
  <c r="F48" i="2"/>
  <c r="G42" i="2"/>
  <c r="F37" i="2"/>
  <c r="F45" i="2"/>
  <c r="G39" i="2"/>
  <c r="G47" i="2"/>
  <c r="F42" i="2"/>
  <c r="G36" i="2"/>
  <c r="G44" i="2"/>
  <c r="F39" i="2"/>
  <c r="F47" i="2"/>
  <c r="G41" i="2"/>
  <c r="F36" i="2"/>
  <c r="F44" i="2"/>
  <c r="G38" i="2"/>
  <c r="G46" i="2"/>
  <c r="F41" i="2"/>
  <c r="G35" i="2"/>
  <c r="G43" i="2"/>
  <c r="F38" i="2"/>
  <c r="F46" i="2"/>
  <c r="G40" i="2"/>
  <c r="G48" i="2"/>
  <c r="H60" i="1"/>
  <c r="H44" i="1"/>
  <c r="H28" i="1"/>
  <c r="H55" i="1"/>
  <c r="H39" i="1"/>
  <c r="H62" i="1"/>
  <c r="H46" i="1"/>
  <c r="H30" i="1"/>
  <c r="H53" i="1"/>
  <c r="H37" i="1"/>
  <c r="H24" i="1"/>
  <c r="H35" i="1"/>
  <c r="H42" i="1"/>
  <c r="H49" i="1"/>
  <c r="H33" i="1"/>
  <c r="H48" i="1"/>
  <c r="H59" i="1"/>
  <c r="H27" i="1"/>
  <c r="H50" i="1"/>
  <c r="H57" i="1"/>
  <c r="H41" i="1"/>
  <c r="H56" i="1"/>
  <c r="H40" i="1"/>
  <c r="H51" i="1"/>
  <c r="H58" i="1"/>
  <c r="H26" i="1"/>
  <c r="H32" i="1"/>
  <c r="H43" i="1"/>
  <c r="H34" i="1"/>
  <c r="H25" i="1"/>
  <c r="H52" i="1"/>
  <c r="H36" i="1"/>
  <c r="H63" i="1"/>
  <c r="H47" i="1"/>
  <c r="H31" i="1"/>
  <c r="H54" i="1"/>
  <c r="H38" i="1"/>
  <c r="H61" i="1"/>
  <c r="H45" i="1"/>
  <c r="H29" i="1"/>
  <c r="I57" i="1"/>
  <c r="I41" i="1"/>
  <c r="I25" i="1"/>
  <c r="I48" i="1"/>
  <c r="I32" i="1"/>
  <c r="I59" i="1"/>
  <c r="I43" i="1"/>
  <c r="I27" i="1"/>
  <c r="I50" i="1"/>
  <c r="I34" i="1"/>
  <c r="I46" i="1"/>
  <c r="I61" i="1"/>
  <c r="I63" i="1"/>
  <c r="I54" i="1"/>
  <c r="I53" i="1"/>
  <c r="I37" i="1"/>
  <c r="I60" i="1"/>
  <c r="I44" i="1"/>
  <c r="I28" i="1"/>
  <c r="I55" i="1"/>
  <c r="I39" i="1"/>
  <c r="I62" i="1"/>
  <c r="I30" i="1"/>
  <c r="I29" i="1"/>
  <c r="I52" i="1"/>
  <c r="I47" i="1"/>
  <c r="I38" i="1"/>
  <c r="I49" i="1"/>
  <c r="I33" i="1"/>
  <c r="I56" i="1"/>
  <c r="I40" i="1"/>
  <c r="I24" i="1"/>
  <c r="I51" i="1"/>
  <c r="I35" i="1"/>
  <c r="I58" i="1"/>
  <c r="I42" i="1"/>
  <c r="I26" i="1"/>
  <c r="I45" i="1"/>
  <c r="I36" i="1"/>
  <c r="I31" i="1"/>
  <c r="K24" i="1"/>
  <c r="F19" i="2" a="1"/>
  <c r="G32" i="2"/>
  <c r="G30" i="2"/>
  <c r="G28" i="2"/>
  <c r="G26" i="2"/>
  <c r="G24" i="2"/>
  <c r="G22" i="2"/>
  <c r="G20" i="2"/>
  <c r="F32" i="2"/>
  <c r="F30" i="2"/>
  <c r="F28" i="2"/>
  <c r="F26" i="2"/>
  <c r="F24" i="2"/>
  <c r="F22" i="2"/>
  <c r="F20" i="2"/>
  <c r="G31" i="2"/>
  <c r="G29" i="2"/>
  <c r="G27" i="2"/>
  <c r="G25" i="2"/>
  <c r="G23" i="2"/>
  <c r="G21" i="2"/>
  <c r="G19" i="2"/>
  <c r="F31" i="2"/>
  <c r="F29" i="2"/>
  <c r="F27" i="2"/>
  <c r="F25" i="2"/>
  <c r="F23" i="2"/>
  <c r="F21" i="2"/>
  <c r="F19" i="2"/>
  <c r="C8" i="2"/>
  <c r="C7" i="2"/>
</calcChain>
</file>

<file path=xl/sharedStrings.xml><?xml version="1.0" encoding="utf-8"?>
<sst xmlns="http://schemas.openxmlformats.org/spreadsheetml/2006/main" count="181" uniqueCount="118">
  <si>
    <t>市场标的</t>
    <phoneticPr fontId="1" type="noConversion"/>
  </si>
  <si>
    <t>报价日</t>
    <phoneticPr fontId="1" type="noConversion"/>
  </si>
  <si>
    <t>类型</t>
    <phoneticPr fontId="1" type="noConversion"/>
  </si>
  <si>
    <t>期限</t>
    <phoneticPr fontId="1" type="noConversion"/>
  </si>
  <si>
    <t>报价</t>
    <phoneticPr fontId="1" type="noConversion"/>
  </si>
  <si>
    <t>同业拆借(Shibor)</t>
    <phoneticPr fontId="1" type="noConversion"/>
  </si>
  <si>
    <t>1D</t>
    <phoneticPr fontId="1" type="noConversion"/>
  </si>
  <si>
    <t>1W</t>
  </si>
  <si>
    <t>2W</t>
  </si>
  <si>
    <t>1M</t>
  </si>
  <si>
    <t>3M</t>
  </si>
  <si>
    <t>互换(Shibor swap)</t>
    <phoneticPr fontId="1" type="noConversion"/>
  </si>
  <si>
    <t>6M</t>
    <phoneticPr fontId="1" type="noConversion"/>
  </si>
  <si>
    <t>9M</t>
    <phoneticPr fontId="1" type="noConversion"/>
  </si>
  <si>
    <t>1Y</t>
    <phoneticPr fontId="1" type="noConversion"/>
  </si>
  <si>
    <t>2Y</t>
    <phoneticPr fontId="1" type="noConversion"/>
  </si>
  <si>
    <t>3Y</t>
  </si>
  <si>
    <t>4Y</t>
  </si>
  <si>
    <t>5Y</t>
  </si>
  <si>
    <t>7Y</t>
  </si>
  <si>
    <t>10Y</t>
    <phoneticPr fontId="1" type="noConversion"/>
  </si>
  <si>
    <t>对象</t>
    <phoneticPr fontId="1" type="noConversion"/>
  </si>
  <si>
    <t>指数类型</t>
    <phoneticPr fontId="1" type="noConversion"/>
  </si>
  <si>
    <t>期限</t>
    <phoneticPr fontId="1" type="noConversion"/>
  </si>
  <si>
    <t>3M</t>
    <phoneticPr fontId="1" type="noConversion"/>
  </si>
  <si>
    <t>市场收益率曲线</t>
    <phoneticPr fontId="1" type="noConversion"/>
  </si>
  <si>
    <t>名称</t>
    <phoneticPr fontId="1" type="noConversion"/>
  </si>
  <si>
    <t>天数计数惯例</t>
    <phoneticPr fontId="1" type="noConversion"/>
  </si>
  <si>
    <t>Actual/360</t>
    <phoneticPr fontId="1" type="noConversion"/>
  </si>
  <si>
    <t>收益率数据</t>
    <phoneticPr fontId="1" type="noConversion"/>
  </si>
  <si>
    <t>日期</t>
    <phoneticPr fontId="1" type="noConversion"/>
  </si>
  <si>
    <t>折现因子</t>
    <phoneticPr fontId="1" type="noConversion"/>
  </si>
  <si>
    <t>零息收益率</t>
    <phoneticPr fontId="1" type="noConversion"/>
  </si>
  <si>
    <t>Handle</t>
    <phoneticPr fontId="1" type="noConversion"/>
  </si>
  <si>
    <t>Simple Quote</t>
    <phoneticPr fontId="1" type="noConversion"/>
  </si>
  <si>
    <t>Delta</t>
    <phoneticPr fontId="1" type="noConversion"/>
  </si>
  <si>
    <t>Shibor ON</t>
  </si>
  <si>
    <t>Shibor ON</t>
    <phoneticPr fontId="1" type="noConversion"/>
  </si>
  <si>
    <t>Shibor 1W</t>
  </si>
  <si>
    <t>Shibor 1W</t>
    <phoneticPr fontId="1" type="noConversion"/>
  </si>
  <si>
    <t>Shibor 2W</t>
  </si>
  <si>
    <t>Shibor 2W</t>
    <phoneticPr fontId="1" type="noConversion"/>
  </si>
  <si>
    <t>Shibor 1M</t>
  </si>
  <si>
    <t>Shibor 1M</t>
    <phoneticPr fontId="1" type="noConversion"/>
  </si>
  <si>
    <t>Shibor 3M</t>
  </si>
  <si>
    <t>Shibor 3M</t>
    <phoneticPr fontId="1" type="noConversion"/>
  </si>
  <si>
    <t>Shibor Swap 6M</t>
  </si>
  <si>
    <t>Shibor Swap 6M</t>
    <phoneticPr fontId="1" type="noConversion"/>
  </si>
  <si>
    <t>Shibor Swap 9M</t>
  </si>
  <si>
    <t>Shibor Swap 9M</t>
    <phoneticPr fontId="1" type="noConversion"/>
  </si>
  <si>
    <t>Shibor Swap 1Y</t>
  </si>
  <si>
    <t>Shibor Swap 1Y</t>
    <phoneticPr fontId="1" type="noConversion"/>
  </si>
  <si>
    <t>Shibor Swap 2Y</t>
  </si>
  <si>
    <t>Shibor Swap 2Y</t>
    <phoneticPr fontId="1" type="noConversion"/>
  </si>
  <si>
    <t>Shibor Swap 3Y</t>
  </si>
  <si>
    <t>Shibor Swap 3Y</t>
    <phoneticPr fontId="1" type="noConversion"/>
  </si>
  <si>
    <t>Shibor Swap 4Y</t>
  </si>
  <si>
    <t>Shibor Swap 4Y</t>
    <phoneticPr fontId="1" type="noConversion"/>
  </si>
  <si>
    <t>Shibor Swap 5Y</t>
  </si>
  <si>
    <t>Shibor Swap 5Y</t>
    <phoneticPr fontId="1" type="noConversion"/>
  </si>
  <si>
    <t>Shibor Swap 7Y</t>
  </si>
  <si>
    <t>Shibor Swap 7Y</t>
    <phoneticPr fontId="1" type="noConversion"/>
  </si>
  <si>
    <t>Shibor Swap 10Y</t>
  </si>
  <si>
    <t>Shibor Swap 10Y</t>
    <phoneticPr fontId="1" type="noConversion"/>
  </si>
  <si>
    <t>Quantites</t>
    <phoneticPr fontId="1" type="noConversion"/>
  </si>
  <si>
    <t>标的</t>
    <phoneticPr fontId="1" type="noConversion"/>
  </si>
  <si>
    <t>待对冲组合</t>
    <phoneticPr fontId="1" type="noConversion"/>
  </si>
  <si>
    <t>组合1</t>
    <phoneticPr fontId="1" type="noConversion"/>
  </si>
  <si>
    <t>类型</t>
    <phoneticPr fontId="1" type="noConversion"/>
  </si>
  <si>
    <t>面值</t>
    <phoneticPr fontId="1" type="noConversion"/>
  </si>
  <si>
    <t>开始日</t>
    <phoneticPr fontId="1" type="noConversion"/>
  </si>
  <si>
    <t>期限</t>
    <phoneticPr fontId="1" type="noConversion"/>
  </si>
  <si>
    <t>固定端利率</t>
    <phoneticPr fontId="1" type="noConversion"/>
  </si>
  <si>
    <t>固定周期</t>
    <phoneticPr fontId="1" type="noConversion"/>
  </si>
  <si>
    <t>浮动周期</t>
    <phoneticPr fontId="1" type="noConversion"/>
  </si>
  <si>
    <t>Payer</t>
    <phoneticPr fontId="1" type="noConversion"/>
  </si>
  <si>
    <t>3Y</t>
    <phoneticPr fontId="1" type="noConversion"/>
  </si>
  <si>
    <t>3M</t>
    <phoneticPr fontId="1" type="noConversion"/>
  </si>
  <si>
    <t>组合2</t>
    <phoneticPr fontId="1" type="noConversion"/>
  </si>
  <si>
    <t>6Y</t>
    <phoneticPr fontId="1" type="noConversion"/>
  </si>
  <si>
    <t>组合3</t>
    <phoneticPr fontId="1" type="noConversion"/>
  </si>
  <si>
    <t>7Y</t>
    <phoneticPr fontId="1" type="noConversion"/>
  </si>
  <si>
    <t>币种</t>
    <phoneticPr fontId="1" type="noConversion"/>
  </si>
  <si>
    <t>CNY</t>
    <phoneticPr fontId="1" type="noConversion"/>
  </si>
  <si>
    <t>到期日</t>
    <phoneticPr fontId="1" type="noConversion"/>
  </si>
  <si>
    <t>结算速度</t>
    <phoneticPr fontId="1" type="noConversion"/>
  </si>
  <si>
    <t>票面利率</t>
    <phoneticPr fontId="1" type="noConversion"/>
  </si>
  <si>
    <t>计数惯例</t>
    <phoneticPr fontId="1" type="noConversion"/>
  </si>
  <si>
    <t>日历</t>
    <phoneticPr fontId="1" type="noConversion"/>
  </si>
  <si>
    <t>付息日历</t>
    <phoneticPr fontId="1" type="noConversion"/>
  </si>
  <si>
    <t>工作日惯例</t>
    <phoneticPr fontId="1" type="noConversion"/>
  </si>
  <si>
    <t>发行日</t>
    <phoneticPr fontId="1" type="noConversion"/>
  </si>
  <si>
    <t>6M</t>
    <phoneticPr fontId="1" type="noConversion"/>
  </si>
  <si>
    <t>付息日工作日惯例</t>
    <phoneticPr fontId="1" type="noConversion"/>
  </si>
  <si>
    <t>NullCalendar</t>
    <phoneticPr fontId="1" type="noConversion"/>
  </si>
  <si>
    <t>CHINA</t>
    <phoneticPr fontId="1" type="noConversion"/>
  </si>
  <si>
    <t>Unadjusted</t>
    <phoneticPr fontId="1" type="noConversion"/>
  </si>
  <si>
    <t>Following</t>
    <phoneticPr fontId="1" type="noConversion"/>
  </si>
  <si>
    <t>返还价值（%）</t>
    <phoneticPr fontId="1" type="noConversion"/>
  </si>
  <si>
    <t>发行价格</t>
    <phoneticPr fontId="1" type="noConversion"/>
  </si>
  <si>
    <t>ShiborSwap-3Y-5.7159%</t>
    <phoneticPr fontId="1" type="noConversion"/>
  </si>
  <si>
    <t>ShiborSwap-6Y-5.7414%</t>
    <phoneticPr fontId="1" type="noConversion"/>
  </si>
  <si>
    <t>ShiborSwap-7Y-5.7608%</t>
    <phoneticPr fontId="1" type="noConversion"/>
  </si>
  <si>
    <t>CTBFixedBond-5Y-5.0000%</t>
    <phoneticPr fontId="1" type="noConversion"/>
  </si>
  <si>
    <t>CTBZeroBond-5Y</t>
    <phoneticPr fontId="1" type="noConversion"/>
  </si>
  <si>
    <t>Date</t>
    <phoneticPr fontId="1" type="noConversion"/>
  </si>
  <si>
    <t>Fixed Value</t>
    <phoneticPr fontId="1" type="noConversion"/>
  </si>
  <si>
    <t>shibor-3M</t>
    <phoneticPr fontId="1" type="noConversion"/>
  </si>
  <si>
    <t>Shibor-3M-YC</t>
    <phoneticPr fontId="1" type="noConversion"/>
  </si>
  <si>
    <t>浮动端</t>
    <phoneticPr fontId="1" type="noConversion"/>
  </si>
  <si>
    <t>标的是一个资产池</t>
    <phoneticPr fontId="1" type="noConversion"/>
  </si>
  <si>
    <t>标的组合非市场基准产品</t>
    <phoneticPr fontId="1" type="noConversion"/>
  </si>
  <si>
    <t>标的组合为市场基础产品</t>
    <phoneticPr fontId="1" type="noConversion"/>
  </si>
  <si>
    <t>组合</t>
    <phoneticPr fontId="1" type="noConversion"/>
  </si>
  <si>
    <t>Gamma</t>
    <phoneticPr fontId="1" type="noConversion"/>
  </si>
  <si>
    <t>Delta</t>
    <phoneticPr fontId="1" type="noConversion"/>
  </si>
  <si>
    <t>Gamma</t>
    <phoneticPr fontId="1" type="noConversion"/>
  </si>
  <si>
    <t>Actual/Actual (ISMA)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</si>
</sst>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 * #,##0.00_ ;_ * \-#,##0.00_ ;_ * &quot;-&quot;??_ ;_ @_ "/>
    <numFmt numFmtId="176" formatCode="0.0000%"/>
    <numFmt numFmtId="177" formatCode="0.0000"/>
    <numFmt numFmtId="178" formatCode="_ * #,##0.0000_ ;_ * \-#,##0.0000_ ;_ * &quot;-&quot;??_ ;_ @_ "/>
  </numFmts>
  <fonts count="7" x14ac:knownFonts="1">
    <font>
      <sz val="11"/>
      <color theme="1"/>
      <name val="华文楷体"/>
      <family val="2"/>
      <charset val="134"/>
    </font>
    <font>
      <sz val="9"/>
      <name val="华文楷体"/>
      <family val="2"/>
      <charset val="134"/>
    </font>
    <font>
      <sz val="11"/>
      <color theme="1"/>
      <name val="华文楷体"/>
      <family val="2"/>
      <charset val="134"/>
    </font>
    <font>
      <b/>
      <sz val="11"/>
      <color theme="1"/>
      <name val="华文楷体"/>
      <family val="3"/>
      <charset val="134"/>
    </font>
    <font>
      <sz val="11"/>
      <color theme="1"/>
      <name val="华文楷体"/>
      <family val="3"/>
      <charset val="134"/>
    </font>
    <font>
      <sz val="11"/>
      <color theme="9" tint="0.39997558519241921"/>
      <name val="华文楷体"/>
      <family val="2"/>
      <charset val="134"/>
    </font>
    <font>
      <sz val="11"/>
      <name val="华文楷体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14" fontId="0" fillId="0" borderId="2" xfId="0" applyNumberFormat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3" fillId="0" borderId="3" xfId="0" applyFont="1" applyBorder="1" applyAlignment="1">
      <alignment horizontal="right" vertical="center"/>
    </xf>
    <xf numFmtId="0" fontId="0" fillId="2" borderId="4" xfId="0" applyFill="1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176" fontId="0" fillId="0" borderId="6" xfId="1" applyNumberFormat="1" applyFont="1" applyBorder="1" applyAlignment="1">
      <alignment horizontal="right" vertical="center"/>
    </xf>
    <xf numFmtId="0" fontId="0" fillId="2" borderId="7" xfId="0" applyFill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176" fontId="0" fillId="0" borderId="8" xfId="1" applyNumberFormat="1" applyFont="1" applyBorder="1" applyAlignment="1">
      <alignment horizontal="right" vertical="center"/>
    </xf>
    <xf numFmtId="0" fontId="0" fillId="2" borderId="9" xfId="0" applyFill="1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176" fontId="0" fillId="0" borderId="11" xfId="1" applyNumberFormat="1" applyFont="1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3" fillId="2" borderId="4" xfId="0" applyFont="1" applyFill="1" applyBorder="1" applyAlignment="1">
      <alignment horizontal="right" vertical="center"/>
    </xf>
    <xf numFmtId="0" fontId="3" fillId="2" borderId="7" xfId="0" applyFont="1" applyFill="1" applyBorder="1" applyAlignment="1">
      <alignment horizontal="right" vertical="center"/>
    </xf>
    <xf numFmtId="0" fontId="3" fillId="2" borderId="9" xfId="0" applyFont="1" applyFill="1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14" fontId="0" fillId="0" borderId="7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4" fontId="0" fillId="0" borderId="9" xfId="0" applyNumberFormat="1" applyBorder="1" applyAlignment="1">
      <alignment horizontal="right" vertical="center"/>
    </xf>
    <xf numFmtId="177" fontId="0" fillId="0" borderId="10" xfId="0" applyNumberFormat="1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14" fontId="0" fillId="0" borderId="8" xfId="0" applyNumberFormat="1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176" fontId="0" fillId="0" borderId="8" xfId="0" applyNumberFormat="1" applyBorder="1" applyAlignment="1">
      <alignment horizontal="right" vertical="center"/>
    </xf>
    <xf numFmtId="0" fontId="4" fillId="2" borderId="4" xfId="0" applyFont="1" applyFill="1" applyBorder="1" applyAlignment="1">
      <alignment horizontal="right" vertical="center"/>
    </xf>
    <xf numFmtId="0" fontId="4" fillId="2" borderId="7" xfId="0" applyFont="1" applyFill="1" applyBorder="1" applyAlignment="1">
      <alignment horizontal="right" vertical="center"/>
    </xf>
    <xf numFmtId="0" fontId="4" fillId="2" borderId="9" xfId="0" applyFont="1" applyFill="1" applyBorder="1" applyAlignment="1">
      <alignment horizontal="right" vertical="center"/>
    </xf>
    <xf numFmtId="43" fontId="0" fillId="0" borderId="8" xfId="2" applyFont="1" applyBorder="1" applyAlignment="1">
      <alignment horizontal="right" vertical="center"/>
    </xf>
    <xf numFmtId="2" fontId="0" fillId="0" borderId="11" xfId="0" applyNumberFormat="1" applyBorder="1" applyAlignment="1">
      <alignment horizontal="right" vertical="center"/>
    </xf>
    <xf numFmtId="177" fontId="0" fillId="0" borderId="8" xfId="0" applyNumberFormat="1" applyBorder="1" applyAlignment="1">
      <alignment horizontal="right" vertical="center"/>
    </xf>
    <xf numFmtId="0" fontId="5" fillId="0" borderId="0" xfId="0" applyFont="1" applyAlignment="1">
      <alignment horizontal="right" vertical="center"/>
    </xf>
    <xf numFmtId="14" fontId="0" fillId="0" borderId="14" xfId="0" applyNumberFormat="1" applyBorder="1" applyAlignment="1">
      <alignment horizontal="right" vertical="center"/>
    </xf>
    <xf numFmtId="9" fontId="0" fillId="0" borderId="8" xfId="0" applyNumberFormat="1" applyBorder="1">
      <alignment vertical="center"/>
    </xf>
    <xf numFmtId="9" fontId="0" fillId="0" borderId="11" xfId="0" applyNumberFormat="1" applyBorder="1">
      <alignment vertical="center"/>
    </xf>
    <xf numFmtId="0" fontId="0" fillId="0" borderId="3" xfId="0" applyBorder="1">
      <alignment vertical="center"/>
    </xf>
    <xf numFmtId="0" fontId="0" fillId="2" borderId="1" xfId="0" applyFill="1" applyBorder="1">
      <alignment vertical="center"/>
    </xf>
    <xf numFmtId="14" fontId="0" fillId="2" borderId="7" xfId="0" applyNumberFormat="1" applyFill="1" applyBorder="1">
      <alignment vertical="center"/>
    </xf>
    <xf numFmtId="14" fontId="0" fillId="2" borderId="9" xfId="0" applyNumberFormat="1" applyFill="1" applyBorder="1">
      <alignment vertical="center"/>
    </xf>
    <xf numFmtId="0" fontId="5" fillId="0" borderId="0" xfId="0" applyFont="1" applyBorder="1" applyAlignment="1">
      <alignment horizontal="right" vertical="center"/>
    </xf>
    <xf numFmtId="14" fontId="0" fillId="0" borderId="0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3" borderId="4" xfId="0" applyFill="1" applyBorder="1" applyAlignment="1">
      <alignment horizontal="right" vertical="center"/>
    </xf>
    <xf numFmtId="0" fontId="0" fillId="3" borderId="9" xfId="0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3" borderId="2" xfId="0" applyFill="1" applyBorder="1" applyAlignment="1">
      <alignment horizontal="right" vertical="center"/>
    </xf>
    <xf numFmtId="0" fontId="0" fillId="3" borderId="3" xfId="0" applyFill="1" applyBorder="1" applyAlignment="1">
      <alignment horizontal="right" vertical="center"/>
    </xf>
    <xf numFmtId="0" fontId="0" fillId="3" borderId="12" xfId="0" applyFill="1" applyBorder="1" applyAlignment="1">
      <alignment horizontal="right" vertical="center"/>
    </xf>
    <xf numFmtId="178" fontId="0" fillId="0" borderId="13" xfId="2" applyNumberFormat="1" applyFont="1" applyBorder="1" applyAlignment="1">
      <alignment horizontal="right" vertical="center"/>
    </xf>
    <xf numFmtId="178" fontId="0" fillId="0" borderId="14" xfId="2" applyNumberFormat="1" applyFont="1" applyBorder="1" applyAlignment="1">
      <alignment horizontal="right" vertical="center"/>
    </xf>
    <xf numFmtId="178" fontId="0" fillId="0" borderId="15" xfId="2" applyNumberFormat="1" applyFont="1" applyBorder="1" applyAlignment="1">
      <alignment horizontal="right" vertical="center"/>
    </xf>
    <xf numFmtId="178" fontId="0" fillId="0" borderId="6" xfId="2" applyNumberFormat="1" applyFont="1" applyBorder="1" applyAlignment="1">
      <alignment horizontal="right" vertical="center"/>
    </xf>
    <xf numFmtId="178" fontId="0" fillId="0" borderId="8" xfId="2" applyNumberFormat="1" applyFont="1" applyBorder="1" applyAlignment="1">
      <alignment horizontal="right" vertical="center"/>
    </xf>
    <xf numFmtId="178" fontId="0" fillId="0" borderId="11" xfId="2" applyNumberFormat="1" applyFont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Border="1" applyAlignment="1">
      <alignment horizontal="right" vertical="center"/>
    </xf>
  </cellXfs>
  <cellStyles count="3">
    <cellStyle name="百分比" xfId="1" builtinId="5"/>
    <cellStyle name="常规" xfId="0" builtinId="0"/>
    <cellStyle name="千位分隔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63"/>
  <sheetViews>
    <sheetView showGridLines="0" workbookViewId="0">
      <selection activeCell="J13" sqref="J13"/>
    </sheetView>
  </sheetViews>
  <sheetFormatPr defaultRowHeight="16.5" x14ac:dyDescent="0.3"/>
  <cols>
    <col min="1" max="1" width="9.140625" style="2"/>
    <col min="2" max="2" width="18.28515625" style="2" bestFit="1" customWidth="1"/>
    <col min="3" max="3" width="43.7109375" style="2" bestFit="1" customWidth="1"/>
    <col min="4" max="4" width="13.7109375" style="2" customWidth="1"/>
    <col min="5" max="5" width="16.140625" style="2" bestFit="1" customWidth="1"/>
    <col min="6" max="6" width="15.42578125" style="2" bestFit="1" customWidth="1"/>
    <col min="7" max="7" width="23.5703125" style="2" bestFit="1" customWidth="1"/>
    <col min="8" max="8" width="9.140625" style="2"/>
    <col min="9" max="9" width="10.28515625" style="2" bestFit="1" customWidth="1"/>
    <col min="10" max="10" width="16.85546875" style="2" bestFit="1" customWidth="1"/>
    <col min="11" max="16384" width="9.140625" style="2"/>
  </cols>
  <sheetData>
    <row r="1" spans="2:10" x14ac:dyDescent="0.3">
      <c r="B1" s="1" t="s">
        <v>0</v>
      </c>
    </row>
    <row r="2" spans="2:10" x14ac:dyDescent="0.3">
      <c r="B2" s="3" t="s">
        <v>1</v>
      </c>
      <c r="C2" s="4">
        <v>41646</v>
      </c>
      <c r="D2" s="5" t="b">
        <f>_xll.CALSettingsSetEvaluationDate(C2)</f>
        <v>1</v>
      </c>
      <c r="E2" s="13"/>
      <c r="F2" s="13"/>
    </row>
    <row r="5" spans="2:10" x14ac:dyDescent="0.3">
      <c r="B5" s="6" t="s">
        <v>2</v>
      </c>
      <c r="C5" s="7" t="s">
        <v>3</v>
      </c>
      <c r="D5" s="8" t="s">
        <v>4</v>
      </c>
      <c r="E5" s="8" t="s">
        <v>34</v>
      </c>
      <c r="F5" s="8" t="s">
        <v>33</v>
      </c>
      <c r="G5" s="8" t="s">
        <v>21</v>
      </c>
      <c r="I5" s="21" t="s">
        <v>22</v>
      </c>
      <c r="J5" s="18" t="s">
        <v>107</v>
      </c>
    </row>
    <row r="6" spans="2:10" x14ac:dyDescent="0.3">
      <c r="B6" s="9" t="s">
        <v>5</v>
      </c>
      <c r="C6" s="10" t="s">
        <v>6</v>
      </c>
      <c r="D6" s="11">
        <v>2.8750000000000001E-2</v>
      </c>
      <c r="E6" s="11" t="str">
        <f>_xll.CALSimpleQuote(C6&amp;"Simple",D6,,,,TRUE)</f>
        <v>1DSimple</v>
      </c>
      <c r="F6" s="11" t="str">
        <f>_xll.CALRelinkableHandleQuote(C6&amp;"Quote",E6,,,TRUE)</f>
        <v>1DQuote</v>
      </c>
      <c r="G6" s="11" t="str">
        <f>_xll.CALDepositRateHelper2(C6&amp;"ShiborDeposit",F6,C6,0,"China","Following",FALSE,"Actual/360",,,TRUE)</f>
        <v>1DShiborDeposit</v>
      </c>
      <c r="I6" s="22" t="s">
        <v>23</v>
      </c>
      <c r="J6" s="19" t="s">
        <v>24</v>
      </c>
    </row>
    <row r="7" spans="2:10" x14ac:dyDescent="0.3">
      <c r="B7" s="12"/>
      <c r="C7" s="13" t="s">
        <v>7</v>
      </c>
      <c r="D7" s="14">
        <v>4.2590000000000003E-2</v>
      </c>
      <c r="E7" s="14" t="str">
        <f>_xll.CALSimpleQuote(C7&amp;"Simple",D7,,,,TRUE)</f>
        <v>1WSimple</v>
      </c>
      <c r="F7" s="14" t="str">
        <f>_xll.CALRelinkableHandleQuote(C7&amp;"Quote",E7,,,TRUE)</f>
        <v>1WQuote</v>
      </c>
      <c r="G7" s="14" t="str">
        <f>_xll.CALDepositRateHelper2(C7&amp;"ShiborDeposit",F7,C7,1,"China","Following",FALSE,"Actual/360",,,TRUE)</f>
        <v>1WShiborDeposit</v>
      </c>
      <c r="I7" s="23" t="s">
        <v>22</v>
      </c>
      <c r="J7" s="20" t="str">
        <f>_xll.CALShibor(J5,J6,,,,TRUE)</f>
        <v>shibor-3M</v>
      </c>
    </row>
    <row r="8" spans="2:10" x14ac:dyDescent="0.3">
      <c r="B8" s="12"/>
      <c r="C8" s="13" t="s">
        <v>8</v>
      </c>
      <c r="D8" s="14">
        <v>5.074E-2</v>
      </c>
      <c r="E8" s="14" t="str">
        <f>_xll.CALSimpleQuote(C8&amp;"Simple",D8,,,,TRUE)</f>
        <v>2WSimple</v>
      </c>
      <c r="F8" s="14" t="str">
        <f>_xll.CALRelinkableHandleQuote(C8&amp;"Quote",E8,,,TRUE)</f>
        <v>2WQuote</v>
      </c>
      <c r="G8" s="14" t="str">
        <f>_xll.CALDepositRateHelper2(C8&amp;"ShiborDeposit",F8,C8,1,"China","Following",FALSE,"Actual/360",,,TRUE)</f>
        <v>2WShiborDeposit</v>
      </c>
    </row>
    <row r="9" spans="2:10" x14ac:dyDescent="0.3">
      <c r="B9" s="12"/>
      <c r="C9" s="13" t="s">
        <v>9</v>
      </c>
      <c r="D9" s="14">
        <v>5.9249999999999997E-2</v>
      </c>
      <c r="E9" s="14" t="str">
        <f>_xll.CALSimpleQuote(C9&amp;"Simple",D9,,,,TRUE)</f>
        <v>1MSimple</v>
      </c>
      <c r="F9" s="14" t="str">
        <f>_xll.CALRelinkableHandleQuote(C9&amp;"Quote",E9,,,TRUE)</f>
        <v>1MQuote</v>
      </c>
      <c r="G9" s="14" t="str">
        <f>_xll.CALDepositRateHelper2(C9&amp;"ShiborDeposit",F9,C9,1,"China","Following",FALSE,"Actual/360",,,TRUE)</f>
        <v>1MShiborDeposit</v>
      </c>
    </row>
    <row r="10" spans="2:10" x14ac:dyDescent="0.3">
      <c r="B10" s="15"/>
      <c r="C10" s="16" t="s">
        <v>10</v>
      </c>
      <c r="D10" s="17">
        <v>5.5759999999999997E-2</v>
      </c>
      <c r="E10" s="17" t="str">
        <f>_xll.CALSimpleQuote(C10&amp;"Simple",D10,,,,TRUE)</f>
        <v>3MSimple</v>
      </c>
      <c r="F10" s="17" t="str">
        <f>_xll.CALRelinkableHandleQuote(C10&amp;"Quote",E10,,,TRUE)</f>
        <v>3MQuote</v>
      </c>
      <c r="G10" s="17" t="str">
        <f>_xll.CALDepositRateHelper2(C10&amp;"ShiborDeposit",F10,C10,1,"China","Following",FALSE,"Actual/360",,,TRUE)</f>
        <v>3MShiborDeposit</v>
      </c>
    </row>
    <row r="11" spans="2:10" x14ac:dyDescent="0.3">
      <c r="B11" s="9" t="s">
        <v>11</v>
      </c>
      <c r="C11" s="10" t="s">
        <v>12</v>
      </c>
      <c r="D11" s="11">
        <v>5.6571999999999997E-2</v>
      </c>
      <c r="E11" s="11" t="str">
        <f>_xll.CALSimpleQuote(C11&amp;"Simple",D11,,,,TRUE)</f>
        <v>6MSimple</v>
      </c>
      <c r="F11" s="11" t="str">
        <f>_xll.CALRelinkableHandleQuote(C11&amp;"Quote",E11,,,TRUE)</f>
        <v>6MQuote</v>
      </c>
      <c r="G11" s="11" t="str">
        <f>_xll.CALShiborSwapRateHelper(C11&amp;"ShiborSwap",F11,C11,"Quarterly",$J$5,"0D",,,,TRUE)</f>
        <v>6MShiborSwap</v>
      </c>
      <c r="I11" s="2" t="str">
        <f>_xll.ohRangeRetrieveError(G11)</f>
        <v/>
      </c>
    </row>
    <row r="12" spans="2:10" x14ac:dyDescent="0.3">
      <c r="B12" s="12"/>
      <c r="C12" s="13" t="s">
        <v>13</v>
      </c>
      <c r="D12" s="14">
        <v>5.6813000000000002E-2</v>
      </c>
      <c r="E12" s="14" t="str">
        <f>_xll.CALSimpleQuote(C12&amp;"Simple",D12,,,,TRUE)</f>
        <v>9MSimple</v>
      </c>
      <c r="F12" s="14" t="str">
        <f>_xll.CALRelinkableHandleQuote(C12&amp;"Quote",E12,,,TRUE)</f>
        <v>9MQuote</v>
      </c>
      <c r="G12" s="14" t="str">
        <f>_xll.CALShiborSwapRateHelper(C12&amp;"ShiborSwap",F12,C12,"Quarterly",$J$5,"0D",,,,TRUE)</f>
        <v>9MShiborSwap</v>
      </c>
    </row>
    <row r="13" spans="2:10" x14ac:dyDescent="0.3">
      <c r="B13" s="12"/>
      <c r="C13" s="13" t="s">
        <v>14</v>
      </c>
      <c r="D13" s="14">
        <v>5.7029999999999997E-2</v>
      </c>
      <c r="E13" s="14" t="str">
        <f>_xll.CALSimpleQuote(C13&amp;"Simple",D13,,,,TRUE)</f>
        <v>1YSimple</v>
      </c>
      <c r="F13" s="14" t="str">
        <f>_xll.CALRelinkableHandleQuote(C13&amp;"Quote",E13,,,TRUE)</f>
        <v>1YQuote</v>
      </c>
      <c r="G13" s="14" t="str">
        <f>_xll.CALShiborSwapRateHelper(C13&amp;"ShiborSwap",F13,C13,"Quarterly",$J$5,"0D",,,,TRUE)</f>
        <v>1YShiborSwap</v>
      </c>
    </row>
    <row r="14" spans="2:10" x14ac:dyDescent="0.3">
      <c r="B14" s="12"/>
      <c r="C14" s="13" t="s">
        <v>15</v>
      </c>
      <c r="D14" s="14">
        <v>5.7098999999999997E-2</v>
      </c>
      <c r="E14" s="14" t="str">
        <f>_xll.CALSimpleQuote(C14&amp;"Simple",D14,,,,TRUE)</f>
        <v>2YSimple</v>
      </c>
      <c r="F14" s="14" t="str">
        <f>_xll.CALRelinkableHandleQuote(C14&amp;"Quote",E14,,,TRUE)</f>
        <v>2YQuote</v>
      </c>
      <c r="G14" s="14" t="str">
        <f>_xll.CALShiborSwapRateHelper(C14&amp;"ShiborSwap",F14,C14,"Quarterly",$J$5,"0D",,,,TRUE)</f>
        <v>2YShiborSwap</v>
      </c>
    </row>
    <row r="15" spans="2:10" x14ac:dyDescent="0.3">
      <c r="B15" s="12"/>
      <c r="C15" s="13" t="s">
        <v>16</v>
      </c>
      <c r="D15" s="14">
        <v>5.7159000000000001E-2</v>
      </c>
      <c r="E15" s="14" t="str">
        <f>_xll.CALSimpleQuote(C15&amp;"Simple",D15,,,,TRUE)</f>
        <v>3YSimple</v>
      </c>
      <c r="F15" s="14" t="str">
        <f>_xll.CALRelinkableHandleQuote(C15&amp;"Quote",E15,,,TRUE)</f>
        <v>3YQuote</v>
      </c>
      <c r="G15" s="14" t="str">
        <f>_xll.CALShiborSwapRateHelper(C15&amp;"ShiborSwap",F15,C15,"Quarterly",$J$5,"0D",,,,TRUE)</f>
        <v>3YShiborSwap</v>
      </c>
    </row>
    <row r="16" spans="2:10" x14ac:dyDescent="0.3">
      <c r="B16" s="12"/>
      <c r="C16" s="13" t="s">
        <v>17</v>
      </c>
      <c r="D16" s="14">
        <v>5.7203999999999998E-2</v>
      </c>
      <c r="E16" s="14" t="str">
        <f>_xll.CALSimpleQuote(C16&amp;"Simple",D16,,,,TRUE)</f>
        <v>4YSimple</v>
      </c>
      <c r="F16" s="14" t="str">
        <f>_xll.CALRelinkableHandleQuote(C16&amp;"Quote",E16,,,TRUE)</f>
        <v>4YQuote</v>
      </c>
      <c r="G16" s="14" t="str">
        <f>_xll.CALShiborSwapRateHelper(C16&amp;"ShiborSwap",F16,C16,"Quarterly",$J$5,"0D",,,,TRUE)</f>
        <v>4YShiborSwap</v>
      </c>
    </row>
    <row r="17" spans="2:11" x14ac:dyDescent="0.3">
      <c r="B17" s="12"/>
      <c r="C17" s="13" t="s">
        <v>18</v>
      </c>
      <c r="D17" s="14">
        <v>5.7223000000000003E-2</v>
      </c>
      <c r="E17" s="14" t="str">
        <f>_xll.CALSimpleQuote(C17&amp;"Simple",D17,,,,TRUE)</f>
        <v>5YSimple</v>
      </c>
      <c r="F17" s="14" t="str">
        <f>_xll.CALRelinkableHandleQuote(C17&amp;"Quote",E17,,,TRUE)</f>
        <v>5YQuote</v>
      </c>
      <c r="G17" s="14" t="str">
        <f>_xll.CALShiborSwapRateHelper(C17&amp;"ShiborSwap",F17,C17,"Quarterly",$J$5,"0D",,,,TRUE)</f>
        <v>5YShiborSwap</v>
      </c>
    </row>
    <row r="18" spans="2:11" x14ac:dyDescent="0.3">
      <c r="B18" s="12"/>
      <c r="C18" s="13" t="s">
        <v>19</v>
      </c>
      <c r="D18" s="14">
        <v>5.7607999999999999E-2</v>
      </c>
      <c r="E18" s="14" t="str">
        <f>_xll.CALSimpleQuote(C18&amp;"Simple",D18,,,,TRUE)</f>
        <v>7YSimple</v>
      </c>
      <c r="F18" s="14" t="str">
        <f>_xll.CALRelinkableHandleQuote(C18&amp;"Quote",E18,,,TRUE)</f>
        <v>7YQuote</v>
      </c>
      <c r="G18" s="14" t="str">
        <f>_xll.CALShiborSwapRateHelper(C18&amp;"ShiborSwap",F18,C18,"Quarterly",$J$5,"0D",,,,TRUE)</f>
        <v>7YShiborSwap</v>
      </c>
    </row>
    <row r="19" spans="2:11" x14ac:dyDescent="0.3">
      <c r="B19" s="15"/>
      <c r="C19" s="16" t="s">
        <v>20</v>
      </c>
      <c r="D19" s="17">
        <v>5.8410999999999998E-2</v>
      </c>
      <c r="E19" s="17" t="str">
        <f>_xll.CALSimpleQuote(C19&amp;"Simple",D19,,,,TRUE)</f>
        <v>10YSimple</v>
      </c>
      <c r="F19" s="17" t="str">
        <f>_xll.CALRelinkableHandleQuote(C19&amp;"Quote",E19,,,TRUE)</f>
        <v>10YQuote</v>
      </c>
      <c r="G19" s="17" t="str">
        <f>_xll.CALShiborSwapRateHelper(C19&amp;"ShiborSwap",F19,C19,"Quarterly",$J$5,"0D",,,,TRUE)</f>
        <v>10YShiborSwap</v>
      </c>
    </row>
    <row r="21" spans="2:11" x14ac:dyDescent="0.3">
      <c r="B21" s="2" t="s">
        <v>25</v>
      </c>
    </row>
    <row r="22" spans="2:11" x14ac:dyDescent="0.3">
      <c r="B22" s="53" t="s">
        <v>26</v>
      </c>
      <c r="C22" s="18" t="s">
        <v>108</v>
      </c>
      <c r="G22" s="2" t="s">
        <v>29</v>
      </c>
    </row>
    <row r="23" spans="2:11" x14ac:dyDescent="0.3">
      <c r="B23" s="54" t="s">
        <v>27</v>
      </c>
      <c r="C23" s="20" t="s">
        <v>28</v>
      </c>
      <c r="G23" s="55" t="s">
        <v>30</v>
      </c>
      <c r="H23" s="56" t="s">
        <v>31</v>
      </c>
      <c r="I23" s="57" t="s">
        <v>32</v>
      </c>
    </row>
    <row r="24" spans="2:11" x14ac:dyDescent="0.3">
      <c r="G24" s="25">
        <v>41646</v>
      </c>
      <c r="H24" s="26">
        <f t="array" ref="H24:H63">_xll.CALYieldTSDiscount($C$25,G24:G63)</f>
        <v>1</v>
      </c>
      <c r="I24" s="14">
        <f t="array" ref="I24:I63">_xll.CALYieldTSZeroRate(C25,G24:G63,C23)</f>
        <v>2.8748852058803367E-2</v>
      </c>
      <c r="K24" s="2" t="str">
        <f>_xll.ohRangeRetrieveError(H24)</f>
        <v/>
      </c>
    </row>
    <row r="25" spans="2:11" x14ac:dyDescent="0.3">
      <c r="B25" s="24"/>
      <c r="C25" s="5" t="str">
        <f>_xll.CALPiecewiseYieldCurve($C$22,0,"NullCalendar",G6:G19,C23,,,,"Discount","LogLinear",,,TRUE)</f>
        <v>Shibor-3M-YC</v>
      </c>
      <c r="G25" s="25">
        <v>41827</v>
      </c>
      <c r="H25" s="26">
        <v>0.97259788856754026</v>
      </c>
      <c r="I25" s="14">
        <v>5.5262092237167819E-2</v>
      </c>
    </row>
    <row r="26" spans="2:11" x14ac:dyDescent="0.3">
      <c r="G26" s="25">
        <v>41919</v>
      </c>
      <c r="H26" s="26">
        <v>0.95875329622822958</v>
      </c>
      <c r="I26" s="14">
        <v>5.5544819682045034E-2</v>
      </c>
    </row>
    <row r="27" spans="2:11" x14ac:dyDescent="0.3">
      <c r="G27" s="25">
        <v>42011</v>
      </c>
      <c r="H27" s="26">
        <v>0.94501223230716969</v>
      </c>
      <c r="I27" s="14">
        <v>5.5782648327234063E-2</v>
      </c>
    </row>
    <row r="28" spans="2:11" x14ac:dyDescent="0.3">
      <c r="G28" s="25">
        <v>42101</v>
      </c>
      <c r="H28" s="26">
        <v>0.93187534077205547</v>
      </c>
      <c r="I28" s="14">
        <v>5.5824707693197792E-2</v>
      </c>
    </row>
    <row r="29" spans="2:11" x14ac:dyDescent="0.3">
      <c r="G29" s="25">
        <v>42192</v>
      </c>
      <c r="H29" s="26">
        <v>0.91877944653573074</v>
      </c>
      <c r="I29" s="14">
        <v>5.5852205484109664E-2</v>
      </c>
    </row>
    <row r="30" spans="2:11" x14ac:dyDescent="0.3">
      <c r="G30" s="25">
        <v>42284</v>
      </c>
      <c r="H30" s="26">
        <v>0.9057267165659969</v>
      </c>
      <c r="I30" s="14">
        <v>5.587203147755699E-2</v>
      </c>
    </row>
    <row r="31" spans="2:11" x14ac:dyDescent="0.3">
      <c r="G31" s="25">
        <v>42376</v>
      </c>
      <c r="H31" s="26">
        <v>0.89285942147979802</v>
      </c>
      <c r="I31" s="14">
        <v>5.5886860234299882E-2</v>
      </c>
    </row>
    <row r="32" spans="2:11" x14ac:dyDescent="0.3">
      <c r="G32" s="25">
        <v>42467</v>
      </c>
      <c r="H32" s="26">
        <v>0.88028728420632418</v>
      </c>
      <c r="I32" s="14">
        <v>5.5910484245890665E-2</v>
      </c>
    </row>
    <row r="33" spans="7:9" x14ac:dyDescent="0.3">
      <c r="G33" s="25">
        <v>42558</v>
      </c>
      <c r="H33" s="26">
        <v>0.86789190328320609</v>
      </c>
      <c r="I33" s="14">
        <v>5.5929516104594866E-2</v>
      </c>
    </row>
    <row r="34" spans="7:9" x14ac:dyDescent="0.3">
      <c r="G34" s="25">
        <v>42650</v>
      </c>
      <c r="H34" s="26">
        <v>0.85553772791596872</v>
      </c>
      <c r="I34" s="14">
        <v>5.5945250029900695E-2</v>
      </c>
    </row>
    <row r="35" spans="7:9" x14ac:dyDescent="0.3">
      <c r="G35" s="25">
        <v>42742</v>
      </c>
      <c r="H35" s="26">
        <v>0.84335941045042051</v>
      </c>
      <c r="I35" s="14">
        <v>5.5958342493293851E-2</v>
      </c>
    </row>
    <row r="36" spans="7:9" x14ac:dyDescent="0.3">
      <c r="G36" s="25">
        <v>42832</v>
      </c>
      <c r="H36" s="26">
        <v>0.83159966375724426</v>
      </c>
      <c r="I36" s="14">
        <v>5.5974271365130251E-2</v>
      </c>
    </row>
    <row r="37" spans="7:9" x14ac:dyDescent="0.3">
      <c r="G37" s="25">
        <v>42923</v>
      </c>
      <c r="H37" s="26">
        <v>0.81987564904599297</v>
      </c>
      <c r="I37" s="14">
        <v>5.5988202961795873E-2</v>
      </c>
    </row>
    <row r="38" spans="7:9" x14ac:dyDescent="0.3">
      <c r="G38" s="25">
        <v>43015</v>
      </c>
      <c r="H38" s="26">
        <v>0.80819081167853923</v>
      </c>
      <c r="I38" s="14">
        <v>5.6000404892902908E-2</v>
      </c>
    </row>
    <row r="39" spans="7:9" x14ac:dyDescent="0.3">
      <c r="G39" s="25">
        <v>43107</v>
      </c>
      <c r="H39" s="26">
        <v>0.79667250618023255</v>
      </c>
      <c r="I39" s="14">
        <v>5.6011070098942378E-2</v>
      </c>
    </row>
    <row r="40" spans="7:9" x14ac:dyDescent="0.3">
      <c r="G40" s="25">
        <v>43197</v>
      </c>
      <c r="H40" s="26">
        <v>0.7855722169791135</v>
      </c>
      <c r="I40" s="14">
        <v>5.601769158677803E-2</v>
      </c>
    </row>
    <row r="41" spans="7:9" x14ac:dyDescent="0.3">
      <c r="G41" s="25">
        <v>43288</v>
      </c>
      <c r="H41" s="26">
        <v>0.77450593228764919</v>
      </c>
      <c r="I41" s="14">
        <v>5.6023620872935373E-2</v>
      </c>
    </row>
    <row r="42" spans="7:9" x14ac:dyDescent="0.3">
      <c r="G42" s="25">
        <v>43380</v>
      </c>
      <c r="H42" s="26">
        <v>0.76347650064063488</v>
      </c>
      <c r="I42" s="14">
        <v>5.6028982684540193E-2</v>
      </c>
    </row>
    <row r="43" spans="7:9" x14ac:dyDescent="0.3">
      <c r="G43" s="25">
        <v>43472</v>
      </c>
      <c r="H43" s="26">
        <v>0.75260413475307431</v>
      </c>
      <c r="I43" s="14">
        <v>5.6033804204066513E-2</v>
      </c>
    </row>
    <row r="44" spans="7:9" x14ac:dyDescent="0.3">
      <c r="G44" s="25">
        <v>43562</v>
      </c>
      <c r="H44" s="26">
        <v>0.74185480139583238</v>
      </c>
      <c r="I44" s="14">
        <v>5.6104711142507688E-2</v>
      </c>
    </row>
    <row r="45" spans="7:9" x14ac:dyDescent="0.3">
      <c r="G45" s="25">
        <v>43653</v>
      </c>
      <c r="H45" s="26">
        <v>0.73113917622177804</v>
      </c>
      <c r="I45" s="14">
        <v>5.6170662924891333E-2</v>
      </c>
    </row>
    <row r="46" spans="7:9" x14ac:dyDescent="0.3">
      <c r="G46" s="25">
        <v>43745</v>
      </c>
      <c r="H46" s="26">
        <v>0.7204631296957007</v>
      </c>
      <c r="I46" s="14">
        <v>5.6231526300880609E-2</v>
      </c>
    </row>
    <row r="47" spans="7:9" x14ac:dyDescent="0.3">
      <c r="G47" s="25">
        <v>43837</v>
      </c>
      <c r="H47" s="26">
        <v>0.70994297410411822</v>
      </c>
      <c r="I47" s="14">
        <v>5.6287278375554445E-2</v>
      </c>
    </row>
    <row r="48" spans="7:9" x14ac:dyDescent="0.3">
      <c r="G48" s="25">
        <v>43928</v>
      </c>
      <c r="H48" s="26">
        <v>0.69968829516810638</v>
      </c>
      <c r="I48" s="14">
        <v>5.6338002130609979E-2</v>
      </c>
    </row>
    <row r="49" spans="7:9" x14ac:dyDescent="0.3">
      <c r="G49" s="25">
        <v>44019</v>
      </c>
      <c r="H49" s="26">
        <v>0.68958173860799854</v>
      </c>
      <c r="I49" s="14">
        <v>5.6384835568168638E-2</v>
      </c>
    </row>
    <row r="50" spans="7:9" x14ac:dyDescent="0.3">
      <c r="G50" s="25">
        <v>44111</v>
      </c>
      <c r="H50" s="26">
        <v>0.67951251107329569</v>
      </c>
      <c r="I50" s="14">
        <v>5.6428668567365357E-2</v>
      </c>
    </row>
    <row r="51" spans="7:9" x14ac:dyDescent="0.3">
      <c r="G51" s="25">
        <v>44203</v>
      </c>
      <c r="H51" s="26">
        <v>0.66959031374178568</v>
      </c>
      <c r="I51" s="14">
        <v>5.6469347373424739E-2</v>
      </c>
    </row>
    <row r="52" spans="7:9" x14ac:dyDescent="0.3">
      <c r="G52" s="25">
        <v>44293</v>
      </c>
      <c r="H52" s="26">
        <v>0.65968303215760149</v>
      </c>
      <c r="I52" s="14">
        <v>5.6576687913053134E-2</v>
      </c>
    </row>
    <row r="53" spans="7:9" x14ac:dyDescent="0.3">
      <c r="G53" s="25">
        <v>44384</v>
      </c>
      <c r="H53" s="26">
        <v>0.64981088714758395</v>
      </c>
      <c r="I53" s="14">
        <v>5.6678818282975357E-2</v>
      </c>
    </row>
    <row r="54" spans="7:9" x14ac:dyDescent="0.3">
      <c r="G54" s="25">
        <v>44476</v>
      </c>
      <c r="H54" s="26">
        <v>0.63998042937835176</v>
      </c>
      <c r="I54" s="14">
        <v>5.6775394201139993E-2</v>
      </c>
    </row>
    <row r="55" spans="7:9" x14ac:dyDescent="0.3">
      <c r="G55" s="25">
        <v>44568</v>
      </c>
      <c r="H55" s="26">
        <v>0.63029868856949067</v>
      </c>
      <c r="I55" s="14">
        <v>5.6865888678872642E-2</v>
      </c>
    </row>
    <row r="56" spans="7:9" x14ac:dyDescent="0.3">
      <c r="G56" s="25">
        <v>44658</v>
      </c>
      <c r="H56" s="26">
        <v>0.62096916163390592</v>
      </c>
      <c r="I56" s="14">
        <v>5.694906663183797E-2</v>
      </c>
    </row>
    <row r="57" spans="7:9" x14ac:dyDescent="0.3">
      <c r="G57" s="25">
        <v>44749</v>
      </c>
      <c r="H57" s="26">
        <v>0.61167636901750533</v>
      </c>
      <c r="I57" s="14">
        <v>5.7028263051250687E-2</v>
      </c>
    </row>
    <row r="58" spans="7:9" x14ac:dyDescent="0.3">
      <c r="G58" s="25">
        <v>44841</v>
      </c>
      <c r="H58" s="26">
        <v>0.60242281720267066</v>
      </c>
      <c r="I58" s="14">
        <v>5.7103743780428942E-2</v>
      </c>
    </row>
    <row r="59" spans="7:9" x14ac:dyDescent="0.3">
      <c r="G59" s="25">
        <v>44933</v>
      </c>
      <c r="H59" s="26">
        <v>0.5933092548095743</v>
      </c>
      <c r="I59" s="14">
        <v>5.7174999242138785E-2</v>
      </c>
    </row>
    <row r="60" spans="7:9" x14ac:dyDescent="0.3">
      <c r="G60" s="25">
        <v>45023</v>
      </c>
      <c r="H60" s="26">
        <v>0.58452723642010196</v>
      </c>
      <c r="I60" s="14">
        <v>5.724094891452184E-2</v>
      </c>
    </row>
    <row r="61" spans="7:9" x14ac:dyDescent="0.3">
      <c r="G61" s="25">
        <v>45114</v>
      </c>
      <c r="H61" s="26">
        <v>0.57577979657558964</v>
      </c>
      <c r="I61" s="14">
        <v>5.7304151106480745E-2</v>
      </c>
    </row>
    <row r="62" spans="7:9" x14ac:dyDescent="0.3">
      <c r="G62" s="25">
        <v>45206</v>
      </c>
      <c r="H62" s="26">
        <v>0.56706929466408829</v>
      </c>
      <c r="I62" s="14">
        <v>5.7364763249358096E-2</v>
      </c>
    </row>
    <row r="63" spans="7:9" x14ac:dyDescent="0.3">
      <c r="G63" s="27">
        <v>45298</v>
      </c>
      <c r="H63" s="28">
        <v>0.55849056681621589</v>
      </c>
      <c r="I63" s="17">
        <v>5.7422321549330385E-2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29"/>
  <sheetViews>
    <sheetView showGridLines="0" topLeftCell="C10" workbookViewId="0">
      <selection activeCell="L22" sqref="L22"/>
    </sheetView>
  </sheetViews>
  <sheetFormatPr defaultRowHeight="16.5" x14ac:dyDescent="0.3"/>
  <cols>
    <col min="1" max="1" width="9.140625" style="2"/>
    <col min="2" max="2" width="24.28515625" style="2" bestFit="1" customWidth="1"/>
    <col min="3" max="3" width="14.85546875" style="2" bestFit="1" customWidth="1"/>
    <col min="4" max="4" width="9.140625" style="42"/>
    <col min="5" max="5" width="24.28515625" style="2" bestFit="1" customWidth="1"/>
    <col min="6" max="6" width="14.85546875" style="2" bestFit="1" customWidth="1"/>
    <col min="7" max="7" width="9.140625" style="2"/>
    <col min="8" max="8" width="27.7109375" style="2" bestFit="1" customWidth="1"/>
    <col min="9" max="9" width="23.85546875" style="2" bestFit="1" customWidth="1"/>
    <col min="10" max="10" width="9.140625" style="2"/>
    <col min="11" max="11" width="20" style="2" bestFit="1" customWidth="1"/>
    <col min="12" max="12" width="23.85546875" style="2" bestFit="1" customWidth="1"/>
    <col min="13" max="16384" width="9.140625" style="2"/>
  </cols>
  <sheetData>
    <row r="2" spans="1:12" x14ac:dyDescent="0.3">
      <c r="B2" s="32" t="s">
        <v>67</v>
      </c>
      <c r="C2" s="18"/>
      <c r="E2" s="32" t="s">
        <v>78</v>
      </c>
      <c r="F2" s="18"/>
      <c r="H2" s="32" t="s">
        <v>80</v>
      </c>
      <c r="I2" s="10"/>
      <c r="J2" s="10"/>
      <c r="K2" s="10"/>
      <c r="L2" s="18"/>
    </row>
    <row r="3" spans="1:12" x14ac:dyDescent="0.3">
      <c r="B3" s="43" t="s">
        <v>100</v>
      </c>
      <c r="C3" s="33"/>
      <c r="E3" s="34" t="s">
        <v>101</v>
      </c>
      <c r="F3" s="19"/>
      <c r="H3" s="34" t="s">
        <v>102</v>
      </c>
      <c r="I3" s="13"/>
      <c r="J3" s="13"/>
      <c r="K3" s="13"/>
      <c r="L3" s="19"/>
    </row>
    <row r="4" spans="1:12" x14ac:dyDescent="0.3">
      <c r="B4" s="34"/>
      <c r="C4" s="19"/>
      <c r="E4" s="34"/>
      <c r="F4" s="19"/>
      <c r="H4" s="34"/>
      <c r="I4" s="13"/>
      <c r="J4" s="13"/>
      <c r="K4" s="13"/>
      <c r="L4" s="19"/>
    </row>
    <row r="5" spans="1:12" x14ac:dyDescent="0.3">
      <c r="B5" s="36" t="s">
        <v>68</v>
      </c>
      <c r="C5" s="18" t="s">
        <v>75</v>
      </c>
      <c r="E5" s="36" t="s">
        <v>68</v>
      </c>
      <c r="F5" s="18" t="s">
        <v>75</v>
      </c>
      <c r="H5" s="36" t="s">
        <v>68</v>
      </c>
      <c r="I5" s="18" t="s">
        <v>75</v>
      </c>
      <c r="J5" s="13"/>
      <c r="K5" s="13"/>
      <c r="L5" s="19"/>
    </row>
    <row r="6" spans="1:12" x14ac:dyDescent="0.3">
      <c r="B6" s="37" t="s">
        <v>69</v>
      </c>
      <c r="C6" s="19">
        <v>1</v>
      </c>
      <c r="E6" s="37" t="s">
        <v>69</v>
      </c>
      <c r="F6" s="19">
        <v>1</v>
      </c>
      <c r="H6" s="37" t="s">
        <v>69</v>
      </c>
      <c r="I6" s="19">
        <v>1</v>
      </c>
      <c r="J6" s="13"/>
      <c r="K6" s="13"/>
      <c r="L6" s="19"/>
    </row>
    <row r="7" spans="1:12" x14ac:dyDescent="0.3">
      <c r="B7" s="37" t="s">
        <v>70</v>
      </c>
      <c r="C7" s="33">
        <f>基准互换曲线!$C$2+1</f>
        <v>41647</v>
      </c>
      <c r="E7" s="37" t="s">
        <v>70</v>
      </c>
      <c r="F7" s="33">
        <v>41463</v>
      </c>
      <c r="H7" s="37" t="s">
        <v>70</v>
      </c>
      <c r="I7" s="33">
        <f>基准互换曲线!$C$2+1</f>
        <v>41647</v>
      </c>
      <c r="J7" s="13"/>
      <c r="K7" s="13"/>
      <c r="L7" s="19"/>
    </row>
    <row r="8" spans="1:12" x14ac:dyDescent="0.3">
      <c r="B8" s="37" t="s">
        <v>71</v>
      </c>
      <c r="C8" s="19" t="s">
        <v>76</v>
      </c>
      <c r="E8" s="37" t="s">
        <v>71</v>
      </c>
      <c r="F8" s="19" t="s">
        <v>79</v>
      </c>
      <c r="H8" s="37" t="s">
        <v>71</v>
      </c>
      <c r="I8" s="19" t="s">
        <v>81</v>
      </c>
      <c r="J8" s="13"/>
      <c r="K8" s="13"/>
      <c r="L8" s="19"/>
    </row>
    <row r="9" spans="1:12" x14ac:dyDescent="0.3">
      <c r="B9" s="37" t="s">
        <v>73</v>
      </c>
      <c r="C9" s="19" t="s">
        <v>24</v>
      </c>
      <c r="E9" s="37" t="s">
        <v>73</v>
      </c>
      <c r="F9" s="19" t="s">
        <v>77</v>
      </c>
      <c r="H9" s="37" t="s">
        <v>73</v>
      </c>
      <c r="I9" s="19" t="s">
        <v>77</v>
      </c>
      <c r="J9" s="13"/>
      <c r="K9" s="13"/>
      <c r="L9" s="19"/>
    </row>
    <row r="10" spans="1:12" x14ac:dyDescent="0.3">
      <c r="B10" s="37" t="s">
        <v>72</v>
      </c>
      <c r="C10" s="14">
        <f>基准互换曲线!$D$15</f>
        <v>5.7159000000000001E-2</v>
      </c>
      <c r="E10" s="37" t="s">
        <v>72</v>
      </c>
      <c r="F10" s="14">
        <f>(基准互换曲线!$D$17+基准互换曲线!$D$18)/2</f>
        <v>5.7415500000000001E-2</v>
      </c>
      <c r="H10" s="37" t="s">
        <v>72</v>
      </c>
      <c r="I10" s="14">
        <f>基准互换曲线!$D$18</f>
        <v>5.7607999999999999E-2</v>
      </c>
      <c r="J10" s="13"/>
      <c r="K10" s="13"/>
      <c r="L10" s="19"/>
    </row>
    <row r="11" spans="1:12" x14ac:dyDescent="0.3">
      <c r="B11" s="37" t="s">
        <v>74</v>
      </c>
      <c r="C11" s="19" t="s">
        <v>24</v>
      </c>
      <c r="E11" s="37" t="s">
        <v>74</v>
      </c>
      <c r="F11" s="19" t="s">
        <v>77</v>
      </c>
      <c r="H11" s="37" t="s">
        <v>74</v>
      </c>
      <c r="I11" s="19" t="s">
        <v>77</v>
      </c>
      <c r="J11" s="13"/>
      <c r="K11" s="13"/>
      <c r="L11" s="19"/>
    </row>
    <row r="12" spans="1:12" x14ac:dyDescent="0.3">
      <c r="B12" s="38" t="s">
        <v>109</v>
      </c>
      <c r="C12" s="20" t="str">
        <f>基准互换曲线!$C$22</f>
        <v>Shibor-3M-YC</v>
      </c>
      <c r="E12" s="38" t="s">
        <v>109</v>
      </c>
      <c r="F12" s="20" t="str">
        <f>基准互换曲线!$C$22</f>
        <v>Shibor-3M-YC</v>
      </c>
      <c r="H12" s="38" t="s">
        <v>109</v>
      </c>
      <c r="I12" s="20" t="str">
        <f>基准互换曲线!$C$22</f>
        <v>Shibor-3M-YC</v>
      </c>
      <c r="J12" s="13"/>
      <c r="K12" s="13"/>
      <c r="L12" s="19"/>
    </row>
    <row r="13" spans="1:12" x14ac:dyDescent="0.3">
      <c r="H13" s="34"/>
      <c r="I13" s="13"/>
      <c r="J13" s="13"/>
      <c r="K13" s="13"/>
      <c r="L13" s="19"/>
    </row>
    <row r="14" spans="1:12" x14ac:dyDescent="0.3">
      <c r="A14" s="13"/>
      <c r="B14" s="13"/>
      <c r="C14" s="13"/>
      <c r="D14" s="50"/>
      <c r="H14" s="34" t="s">
        <v>103</v>
      </c>
      <c r="I14" s="13"/>
      <c r="J14" s="13"/>
      <c r="K14" s="13" t="s">
        <v>104</v>
      </c>
      <c r="L14" s="19"/>
    </row>
    <row r="15" spans="1:12" x14ac:dyDescent="0.3">
      <c r="A15" s="13"/>
      <c r="B15" s="13"/>
      <c r="C15" s="13"/>
      <c r="D15" s="50"/>
      <c r="H15" s="34"/>
      <c r="I15" s="13"/>
      <c r="J15" s="13"/>
      <c r="K15" s="13"/>
      <c r="L15" s="19"/>
    </row>
    <row r="16" spans="1:12" x14ac:dyDescent="0.3">
      <c r="A16" s="13"/>
      <c r="B16" s="51"/>
      <c r="C16" s="13"/>
      <c r="D16" s="50"/>
      <c r="H16" s="9" t="s">
        <v>82</v>
      </c>
      <c r="I16" s="18" t="s">
        <v>83</v>
      </c>
      <c r="J16" s="13"/>
      <c r="K16" s="9" t="s">
        <v>82</v>
      </c>
      <c r="L16" s="18" t="s">
        <v>83</v>
      </c>
    </row>
    <row r="17" spans="1:12" x14ac:dyDescent="0.3">
      <c r="A17" s="13"/>
      <c r="B17" s="13"/>
      <c r="C17" s="13"/>
      <c r="D17" s="50"/>
      <c r="H17" s="12" t="s">
        <v>70</v>
      </c>
      <c r="I17" s="33">
        <v>40193</v>
      </c>
      <c r="J17" s="13"/>
      <c r="K17" s="12" t="s">
        <v>70</v>
      </c>
      <c r="L17" s="33">
        <v>40193</v>
      </c>
    </row>
    <row r="18" spans="1:12" x14ac:dyDescent="0.3">
      <c r="A18" s="13"/>
      <c r="B18" s="13"/>
      <c r="C18" s="13"/>
      <c r="D18" s="50"/>
      <c r="H18" s="12" t="s">
        <v>69</v>
      </c>
      <c r="I18" s="39">
        <v>1</v>
      </c>
      <c r="J18" s="13"/>
      <c r="K18" s="12" t="s">
        <v>69</v>
      </c>
      <c r="L18" s="39">
        <v>1</v>
      </c>
    </row>
    <row r="19" spans="1:12" x14ac:dyDescent="0.3">
      <c r="A19" s="13"/>
      <c r="B19" s="13"/>
      <c r="C19" s="13"/>
      <c r="D19" s="50"/>
      <c r="H19" s="12" t="s">
        <v>84</v>
      </c>
      <c r="I19" s="33">
        <v>42019</v>
      </c>
      <c r="J19" s="13"/>
      <c r="K19" s="12" t="s">
        <v>84</v>
      </c>
      <c r="L19" s="33">
        <v>42019</v>
      </c>
    </row>
    <row r="20" spans="1:12" x14ac:dyDescent="0.3">
      <c r="A20" s="13"/>
      <c r="B20" s="13"/>
      <c r="C20" s="13"/>
      <c r="D20" s="50"/>
      <c r="H20" s="12" t="s">
        <v>85</v>
      </c>
      <c r="I20" s="19">
        <v>0</v>
      </c>
      <c r="J20" s="13"/>
      <c r="K20" s="12" t="s">
        <v>85</v>
      </c>
      <c r="L20" s="19">
        <v>0</v>
      </c>
    </row>
    <row r="21" spans="1:12" x14ac:dyDescent="0.3">
      <c r="H21" s="12" t="s">
        <v>73</v>
      </c>
      <c r="I21" s="19" t="s">
        <v>92</v>
      </c>
      <c r="J21" s="13"/>
      <c r="K21" s="12" t="s">
        <v>87</v>
      </c>
      <c r="L21" s="19" t="s">
        <v>117</v>
      </c>
    </row>
    <row r="22" spans="1:12" x14ac:dyDescent="0.3">
      <c r="H22" s="12" t="s">
        <v>86</v>
      </c>
      <c r="I22" s="35">
        <v>0.05</v>
      </c>
      <c r="J22" s="13"/>
      <c r="K22" s="12" t="s">
        <v>88</v>
      </c>
      <c r="L22" s="19" t="s">
        <v>94</v>
      </c>
    </row>
    <row r="23" spans="1:12" x14ac:dyDescent="0.3">
      <c r="H23" s="12" t="s">
        <v>87</v>
      </c>
      <c r="I23" s="19" t="s">
        <v>117</v>
      </c>
      <c r="J23" s="13"/>
      <c r="K23" s="12" t="s">
        <v>99</v>
      </c>
      <c r="L23" s="41">
        <v>97.5</v>
      </c>
    </row>
    <row r="24" spans="1:12" x14ac:dyDescent="0.3">
      <c r="H24" s="12" t="s">
        <v>88</v>
      </c>
      <c r="I24" s="19" t="s">
        <v>94</v>
      </c>
      <c r="J24" s="13"/>
      <c r="K24" s="12" t="s">
        <v>93</v>
      </c>
      <c r="L24" s="19" t="s">
        <v>97</v>
      </c>
    </row>
    <row r="25" spans="1:12" x14ac:dyDescent="0.3">
      <c r="H25" s="12" t="s">
        <v>89</v>
      </c>
      <c r="I25" s="19" t="s">
        <v>95</v>
      </c>
      <c r="J25" s="13"/>
      <c r="K25" s="12" t="s">
        <v>91</v>
      </c>
      <c r="L25" s="33">
        <v>40193</v>
      </c>
    </row>
    <row r="26" spans="1:12" x14ac:dyDescent="0.3">
      <c r="H26" s="12" t="s">
        <v>90</v>
      </c>
      <c r="I26" s="19" t="s">
        <v>96</v>
      </c>
      <c r="J26" s="13"/>
      <c r="K26" s="15" t="s">
        <v>98</v>
      </c>
      <c r="L26" s="40">
        <v>100</v>
      </c>
    </row>
    <row r="27" spans="1:12" x14ac:dyDescent="0.3">
      <c r="H27" s="12" t="s">
        <v>93</v>
      </c>
      <c r="I27" s="19" t="s">
        <v>97</v>
      </c>
      <c r="J27" s="13"/>
      <c r="K27" s="13"/>
      <c r="L27" s="19"/>
    </row>
    <row r="28" spans="1:12" x14ac:dyDescent="0.3">
      <c r="H28" s="12" t="s">
        <v>91</v>
      </c>
      <c r="I28" s="33">
        <v>40193</v>
      </c>
      <c r="J28" s="13"/>
      <c r="K28" s="13"/>
      <c r="L28" s="19"/>
    </row>
    <row r="29" spans="1:12" x14ac:dyDescent="0.3">
      <c r="H29" s="15" t="s">
        <v>98</v>
      </c>
      <c r="I29" s="40">
        <v>100</v>
      </c>
      <c r="J29" s="16"/>
      <c r="K29" s="16"/>
      <c r="L29" s="20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314"/>
  <sheetViews>
    <sheetView showGridLines="0" workbookViewId="0">
      <selection activeCell="C4" sqref="C4"/>
    </sheetView>
  </sheetViews>
  <sheetFormatPr defaultRowHeight="16.5" x14ac:dyDescent="0.3"/>
  <cols>
    <col min="1" max="1" width="11.85546875" bestFit="1" customWidth="1"/>
    <col min="2" max="2" width="11.42578125" bestFit="1" customWidth="1"/>
  </cols>
  <sheetData>
    <row r="1" spans="1:5" x14ac:dyDescent="0.3">
      <c r="A1" t="s">
        <v>45</v>
      </c>
    </row>
    <row r="2" spans="1:5" x14ac:dyDescent="0.3">
      <c r="A2" s="47" t="s">
        <v>105</v>
      </c>
      <c r="B2" s="46" t="s">
        <v>106</v>
      </c>
    </row>
    <row r="3" spans="1:5" x14ac:dyDescent="0.3">
      <c r="A3" s="48">
        <v>41547</v>
      </c>
      <c r="B3" s="44">
        <v>0.05</v>
      </c>
      <c r="C3" t="b">
        <f>_xll.CALIndexAddFixings(基准互换曲线!J5,A3:A3,B3:B3,TRUE)</f>
        <v>1</v>
      </c>
      <c r="D3" t="str">
        <f>_xll.ohRangeRetrieveError(C3)</f>
        <v/>
      </c>
      <c r="E3" t="str">
        <f>_xll.ohRangeRetrieveError(C3)</f>
        <v/>
      </c>
    </row>
    <row r="4" spans="1:5" x14ac:dyDescent="0.3">
      <c r="A4" s="48"/>
      <c r="B4" s="44"/>
    </row>
    <row r="5" spans="1:5" x14ac:dyDescent="0.3">
      <c r="A5" s="48"/>
      <c r="B5" s="44"/>
    </row>
    <row r="6" spans="1:5" x14ac:dyDescent="0.3">
      <c r="A6" s="48"/>
      <c r="B6" s="44"/>
    </row>
    <row r="7" spans="1:5" x14ac:dyDescent="0.3">
      <c r="A7" s="48"/>
      <c r="B7" s="44"/>
    </row>
    <row r="8" spans="1:5" x14ac:dyDescent="0.3">
      <c r="A8" s="48"/>
      <c r="B8" s="44"/>
    </row>
    <row r="9" spans="1:5" x14ac:dyDescent="0.3">
      <c r="A9" s="48"/>
      <c r="B9" s="44"/>
    </row>
    <row r="10" spans="1:5" x14ac:dyDescent="0.3">
      <c r="A10" s="48"/>
      <c r="B10" s="44"/>
    </row>
    <row r="11" spans="1:5" x14ac:dyDescent="0.3">
      <c r="A11" s="48"/>
      <c r="B11" s="44"/>
    </row>
    <row r="12" spans="1:5" x14ac:dyDescent="0.3">
      <c r="A12" s="48"/>
      <c r="B12" s="44"/>
    </row>
    <row r="13" spans="1:5" x14ac:dyDescent="0.3">
      <c r="A13" s="48"/>
      <c r="B13" s="44"/>
    </row>
    <row r="14" spans="1:5" x14ac:dyDescent="0.3">
      <c r="A14" s="48"/>
      <c r="B14" s="44"/>
    </row>
    <row r="15" spans="1:5" x14ac:dyDescent="0.3">
      <c r="A15" s="48"/>
      <c r="B15" s="44"/>
    </row>
    <row r="16" spans="1:5" x14ac:dyDescent="0.3">
      <c r="A16" s="48"/>
      <c r="B16" s="44"/>
    </row>
    <row r="17" spans="1:2" x14ac:dyDescent="0.3">
      <c r="A17" s="48"/>
      <c r="B17" s="44"/>
    </row>
    <row r="18" spans="1:2" x14ac:dyDescent="0.3">
      <c r="A18" s="48"/>
      <c r="B18" s="44"/>
    </row>
    <row r="19" spans="1:2" x14ac:dyDescent="0.3">
      <c r="A19" s="48"/>
      <c r="B19" s="44"/>
    </row>
    <row r="20" spans="1:2" x14ac:dyDescent="0.3">
      <c r="A20" s="48"/>
      <c r="B20" s="44"/>
    </row>
    <row r="21" spans="1:2" x14ac:dyDescent="0.3">
      <c r="A21" s="48"/>
      <c r="B21" s="44"/>
    </row>
    <row r="22" spans="1:2" x14ac:dyDescent="0.3">
      <c r="A22" s="48"/>
      <c r="B22" s="44"/>
    </row>
    <row r="23" spans="1:2" x14ac:dyDescent="0.3">
      <c r="A23" s="48"/>
      <c r="B23" s="44"/>
    </row>
    <row r="24" spans="1:2" x14ac:dyDescent="0.3">
      <c r="A24" s="48"/>
      <c r="B24" s="44"/>
    </row>
    <row r="25" spans="1:2" x14ac:dyDescent="0.3">
      <c r="A25" s="48"/>
      <c r="B25" s="44"/>
    </row>
    <row r="26" spans="1:2" x14ac:dyDescent="0.3">
      <c r="A26" s="48"/>
      <c r="B26" s="44"/>
    </row>
    <row r="27" spans="1:2" x14ac:dyDescent="0.3">
      <c r="A27" s="48"/>
      <c r="B27" s="44"/>
    </row>
    <row r="28" spans="1:2" x14ac:dyDescent="0.3">
      <c r="A28" s="48"/>
      <c r="B28" s="44"/>
    </row>
    <row r="29" spans="1:2" x14ac:dyDescent="0.3">
      <c r="A29" s="48"/>
      <c r="B29" s="44"/>
    </row>
    <row r="30" spans="1:2" x14ac:dyDescent="0.3">
      <c r="A30" s="48"/>
      <c r="B30" s="44"/>
    </row>
    <row r="31" spans="1:2" x14ac:dyDescent="0.3">
      <c r="A31" s="48"/>
      <c r="B31" s="44"/>
    </row>
    <row r="32" spans="1:2" x14ac:dyDescent="0.3">
      <c r="A32" s="48"/>
      <c r="B32" s="44"/>
    </row>
    <row r="33" spans="1:2" x14ac:dyDescent="0.3">
      <c r="A33" s="48"/>
      <c r="B33" s="44"/>
    </row>
    <row r="34" spans="1:2" x14ac:dyDescent="0.3">
      <c r="A34" s="48"/>
      <c r="B34" s="44"/>
    </row>
    <row r="35" spans="1:2" x14ac:dyDescent="0.3">
      <c r="A35" s="48"/>
      <c r="B35" s="44"/>
    </row>
    <row r="36" spans="1:2" x14ac:dyDescent="0.3">
      <c r="A36" s="48"/>
      <c r="B36" s="44"/>
    </row>
    <row r="37" spans="1:2" x14ac:dyDescent="0.3">
      <c r="A37" s="48"/>
      <c r="B37" s="44"/>
    </row>
    <row r="38" spans="1:2" x14ac:dyDescent="0.3">
      <c r="A38" s="48"/>
      <c r="B38" s="44"/>
    </row>
    <row r="39" spans="1:2" x14ac:dyDescent="0.3">
      <c r="A39" s="48"/>
      <c r="B39" s="44"/>
    </row>
    <row r="40" spans="1:2" x14ac:dyDescent="0.3">
      <c r="A40" s="48"/>
      <c r="B40" s="44"/>
    </row>
    <row r="41" spans="1:2" x14ac:dyDescent="0.3">
      <c r="A41" s="48"/>
      <c r="B41" s="44"/>
    </row>
    <row r="42" spans="1:2" x14ac:dyDescent="0.3">
      <c r="A42" s="48"/>
      <c r="B42" s="44"/>
    </row>
    <row r="43" spans="1:2" x14ac:dyDescent="0.3">
      <c r="A43" s="48"/>
      <c r="B43" s="44"/>
    </row>
    <row r="44" spans="1:2" x14ac:dyDescent="0.3">
      <c r="A44" s="48"/>
      <c r="B44" s="44"/>
    </row>
    <row r="45" spans="1:2" x14ac:dyDescent="0.3">
      <c r="A45" s="48"/>
      <c r="B45" s="44"/>
    </row>
    <row r="46" spans="1:2" x14ac:dyDescent="0.3">
      <c r="A46" s="48"/>
      <c r="B46" s="44"/>
    </row>
    <row r="47" spans="1:2" x14ac:dyDescent="0.3">
      <c r="A47" s="48"/>
      <c r="B47" s="44"/>
    </row>
    <row r="48" spans="1:2" x14ac:dyDescent="0.3">
      <c r="A48" s="48"/>
      <c r="B48" s="44"/>
    </row>
    <row r="49" spans="1:2" x14ac:dyDescent="0.3">
      <c r="A49" s="48"/>
      <c r="B49" s="44"/>
    </row>
    <row r="50" spans="1:2" x14ac:dyDescent="0.3">
      <c r="A50" s="48"/>
      <c r="B50" s="44"/>
    </row>
    <row r="51" spans="1:2" x14ac:dyDescent="0.3">
      <c r="A51" s="48"/>
      <c r="B51" s="44"/>
    </row>
    <row r="52" spans="1:2" x14ac:dyDescent="0.3">
      <c r="A52" s="48"/>
      <c r="B52" s="44"/>
    </row>
    <row r="53" spans="1:2" x14ac:dyDescent="0.3">
      <c r="A53" s="48"/>
      <c r="B53" s="44"/>
    </row>
    <row r="54" spans="1:2" x14ac:dyDescent="0.3">
      <c r="A54" s="48"/>
      <c r="B54" s="44"/>
    </row>
    <row r="55" spans="1:2" x14ac:dyDescent="0.3">
      <c r="A55" s="48"/>
      <c r="B55" s="44"/>
    </row>
    <row r="56" spans="1:2" x14ac:dyDescent="0.3">
      <c r="A56" s="48"/>
      <c r="B56" s="44"/>
    </row>
    <row r="57" spans="1:2" x14ac:dyDescent="0.3">
      <c r="A57" s="48"/>
      <c r="B57" s="44"/>
    </row>
    <row r="58" spans="1:2" x14ac:dyDescent="0.3">
      <c r="A58" s="48"/>
      <c r="B58" s="44"/>
    </row>
    <row r="59" spans="1:2" x14ac:dyDescent="0.3">
      <c r="A59" s="48"/>
      <c r="B59" s="44"/>
    </row>
    <row r="60" spans="1:2" x14ac:dyDescent="0.3">
      <c r="A60" s="48"/>
      <c r="B60" s="44"/>
    </row>
    <row r="61" spans="1:2" x14ac:dyDescent="0.3">
      <c r="A61" s="48"/>
      <c r="B61" s="44"/>
    </row>
    <row r="62" spans="1:2" x14ac:dyDescent="0.3">
      <c r="A62" s="48"/>
      <c r="B62" s="44"/>
    </row>
    <row r="63" spans="1:2" x14ac:dyDescent="0.3">
      <c r="A63" s="48"/>
      <c r="B63" s="44"/>
    </row>
    <row r="64" spans="1:2" x14ac:dyDescent="0.3">
      <c r="A64" s="48"/>
      <c r="B64" s="44"/>
    </row>
    <row r="65" spans="1:2" x14ac:dyDescent="0.3">
      <c r="A65" s="48"/>
      <c r="B65" s="44"/>
    </row>
    <row r="66" spans="1:2" x14ac:dyDescent="0.3">
      <c r="A66" s="48"/>
      <c r="B66" s="44"/>
    </row>
    <row r="67" spans="1:2" x14ac:dyDescent="0.3">
      <c r="A67" s="48"/>
      <c r="B67" s="44"/>
    </row>
    <row r="68" spans="1:2" x14ac:dyDescent="0.3">
      <c r="A68" s="48"/>
      <c r="B68" s="44"/>
    </row>
    <row r="69" spans="1:2" x14ac:dyDescent="0.3">
      <c r="A69" s="48"/>
      <c r="B69" s="44"/>
    </row>
    <row r="70" spans="1:2" x14ac:dyDescent="0.3">
      <c r="A70" s="48"/>
      <c r="B70" s="44"/>
    </row>
    <row r="71" spans="1:2" x14ac:dyDescent="0.3">
      <c r="A71" s="48"/>
      <c r="B71" s="44"/>
    </row>
    <row r="72" spans="1:2" x14ac:dyDescent="0.3">
      <c r="A72" s="48"/>
      <c r="B72" s="44"/>
    </row>
    <row r="73" spans="1:2" x14ac:dyDescent="0.3">
      <c r="A73" s="48"/>
      <c r="B73" s="44"/>
    </row>
    <row r="74" spans="1:2" x14ac:dyDescent="0.3">
      <c r="A74" s="48"/>
      <c r="B74" s="44"/>
    </row>
    <row r="75" spans="1:2" x14ac:dyDescent="0.3">
      <c r="A75" s="48"/>
      <c r="B75" s="44"/>
    </row>
    <row r="76" spans="1:2" x14ac:dyDescent="0.3">
      <c r="A76" s="48"/>
      <c r="B76" s="44"/>
    </row>
    <row r="77" spans="1:2" x14ac:dyDescent="0.3">
      <c r="A77" s="48"/>
      <c r="B77" s="44"/>
    </row>
    <row r="78" spans="1:2" x14ac:dyDescent="0.3">
      <c r="A78" s="48"/>
      <c r="B78" s="44"/>
    </row>
    <row r="79" spans="1:2" x14ac:dyDescent="0.3">
      <c r="A79" s="48"/>
      <c r="B79" s="44"/>
    </row>
    <row r="80" spans="1:2" x14ac:dyDescent="0.3">
      <c r="A80" s="48"/>
      <c r="B80" s="44"/>
    </row>
    <row r="81" spans="1:2" x14ac:dyDescent="0.3">
      <c r="A81" s="48"/>
      <c r="B81" s="44"/>
    </row>
    <row r="82" spans="1:2" x14ac:dyDescent="0.3">
      <c r="A82" s="48"/>
      <c r="B82" s="44"/>
    </row>
    <row r="83" spans="1:2" x14ac:dyDescent="0.3">
      <c r="A83" s="48"/>
      <c r="B83" s="44"/>
    </row>
    <row r="84" spans="1:2" x14ac:dyDescent="0.3">
      <c r="A84" s="48"/>
      <c r="B84" s="44"/>
    </row>
    <row r="85" spans="1:2" x14ac:dyDescent="0.3">
      <c r="A85" s="48"/>
      <c r="B85" s="44"/>
    </row>
    <row r="86" spans="1:2" x14ac:dyDescent="0.3">
      <c r="A86" s="48"/>
      <c r="B86" s="44"/>
    </row>
    <row r="87" spans="1:2" x14ac:dyDescent="0.3">
      <c r="A87" s="48"/>
      <c r="B87" s="44"/>
    </row>
    <row r="88" spans="1:2" x14ac:dyDescent="0.3">
      <c r="A88" s="48"/>
      <c r="B88" s="44"/>
    </row>
    <row r="89" spans="1:2" x14ac:dyDescent="0.3">
      <c r="A89" s="48"/>
      <c r="B89" s="44"/>
    </row>
    <row r="90" spans="1:2" x14ac:dyDescent="0.3">
      <c r="A90" s="48"/>
      <c r="B90" s="44"/>
    </row>
    <row r="91" spans="1:2" x14ac:dyDescent="0.3">
      <c r="A91" s="48"/>
      <c r="B91" s="44"/>
    </row>
    <row r="92" spans="1:2" x14ac:dyDescent="0.3">
      <c r="A92" s="48"/>
      <c r="B92" s="44"/>
    </row>
    <row r="93" spans="1:2" x14ac:dyDescent="0.3">
      <c r="A93" s="48"/>
      <c r="B93" s="44"/>
    </row>
    <row r="94" spans="1:2" x14ac:dyDescent="0.3">
      <c r="A94" s="48"/>
      <c r="B94" s="44"/>
    </row>
    <row r="95" spans="1:2" x14ac:dyDescent="0.3">
      <c r="A95" s="48"/>
      <c r="B95" s="44"/>
    </row>
    <row r="96" spans="1:2" x14ac:dyDescent="0.3">
      <c r="A96" s="48"/>
      <c r="B96" s="44"/>
    </row>
    <row r="97" spans="1:2" x14ac:dyDescent="0.3">
      <c r="A97" s="48"/>
      <c r="B97" s="44"/>
    </row>
    <row r="98" spans="1:2" x14ac:dyDescent="0.3">
      <c r="A98" s="48"/>
      <c r="B98" s="44"/>
    </row>
    <row r="99" spans="1:2" x14ac:dyDescent="0.3">
      <c r="A99" s="48"/>
      <c r="B99" s="44"/>
    </row>
    <row r="100" spans="1:2" x14ac:dyDescent="0.3">
      <c r="A100" s="48"/>
      <c r="B100" s="44"/>
    </row>
    <row r="101" spans="1:2" x14ac:dyDescent="0.3">
      <c r="A101" s="48"/>
      <c r="B101" s="44"/>
    </row>
    <row r="102" spans="1:2" x14ac:dyDescent="0.3">
      <c r="A102" s="48"/>
      <c r="B102" s="44"/>
    </row>
    <row r="103" spans="1:2" x14ac:dyDescent="0.3">
      <c r="A103" s="48"/>
      <c r="B103" s="44"/>
    </row>
    <row r="104" spans="1:2" x14ac:dyDescent="0.3">
      <c r="A104" s="48"/>
      <c r="B104" s="44"/>
    </row>
    <row r="105" spans="1:2" x14ac:dyDescent="0.3">
      <c r="A105" s="48"/>
      <c r="B105" s="44"/>
    </row>
    <row r="106" spans="1:2" x14ac:dyDescent="0.3">
      <c r="A106" s="48"/>
      <c r="B106" s="44"/>
    </row>
    <row r="107" spans="1:2" x14ac:dyDescent="0.3">
      <c r="A107" s="48"/>
      <c r="B107" s="44"/>
    </row>
    <row r="108" spans="1:2" x14ac:dyDescent="0.3">
      <c r="A108" s="48"/>
      <c r="B108" s="44"/>
    </row>
    <row r="109" spans="1:2" x14ac:dyDescent="0.3">
      <c r="A109" s="48"/>
      <c r="B109" s="44"/>
    </row>
    <row r="110" spans="1:2" x14ac:dyDescent="0.3">
      <c r="A110" s="48"/>
      <c r="B110" s="44"/>
    </row>
    <row r="111" spans="1:2" x14ac:dyDescent="0.3">
      <c r="A111" s="48"/>
      <c r="B111" s="44"/>
    </row>
    <row r="112" spans="1:2" x14ac:dyDescent="0.3">
      <c r="A112" s="48"/>
      <c r="B112" s="44"/>
    </row>
    <row r="113" spans="1:2" x14ac:dyDescent="0.3">
      <c r="A113" s="48"/>
      <c r="B113" s="44"/>
    </row>
    <row r="114" spans="1:2" x14ac:dyDescent="0.3">
      <c r="A114" s="48"/>
      <c r="B114" s="44"/>
    </row>
    <row r="115" spans="1:2" x14ac:dyDescent="0.3">
      <c r="A115" s="48"/>
      <c r="B115" s="44"/>
    </row>
    <row r="116" spans="1:2" x14ac:dyDescent="0.3">
      <c r="A116" s="48"/>
      <c r="B116" s="44"/>
    </row>
    <row r="117" spans="1:2" x14ac:dyDescent="0.3">
      <c r="A117" s="48"/>
      <c r="B117" s="44"/>
    </row>
    <row r="118" spans="1:2" x14ac:dyDescent="0.3">
      <c r="A118" s="48"/>
      <c r="B118" s="44"/>
    </row>
    <row r="119" spans="1:2" x14ac:dyDescent="0.3">
      <c r="A119" s="48"/>
      <c r="B119" s="44"/>
    </row>
    <row r="120" spans="1:2" x14ac:dyDescent="0.3">
      <c r="A120" s="48"/>
      <c r="B120" s="44"/>
    </row>
    <row r="121" spans="1:2" x14ac:dyDescent="0.3">
      <c r="A121" s="48"/>
      <c r="B121" s="44"/>
    </row>
    <row r="122" spans="1:2" x14ac:dyDescent="0.3">
      <c r="A122" s="48"/>
      <c r="B122" s="44"/>
    </row>
    <row r="123" spans="1:2" x14ac:dyDescent="0.3">
      <c r="A123" s="48"/>
      <c r="B123" s="44"/>
    </row>
    <row r="124" spans="1:2" x14ac:dyDescent="0.3">
      <c r="A124" s="48"/>
      <c r="B124" s="44"/>
    </row>
    <row r="125" spans="1:2" x14ac:dyDescent="0.3">
      <c r="A125" s="48"/>
      <c r="B125" s="44"/>
    </row>
    <row r="126" spans="1:2" x14ac:dyDescent="0.3">
      <c r="A126" s="48"/>
      <c r="B126" s="44"/>
    </row>
    <row r="127" spans="1:2" x14ac:dyDescent="0.3">
      <c r="A127" s="48"/>
      <c r="B127" s="44"/>
    </row>
    <row r="128" spans="1:2" x14ac:dyDescent="0.3">
      <c r="A128" s="48"/>
      <c r="B128" s="44"/>
    </row>
    <row r="129" spans="1:2" x14ac:dyDescent="0.3">
      <c r="A129" s="48"/>
      <c r="B129" s="44"/>
    </row>
    <row r="130" spans="1:2" x14ac:dyDescent="0.3">
      <c r="A130" s="48"/>
      <c r="B130" s="44"/>
    </row>
    <row r="131" spans="1:2" x14ac:dyDescent="0.3">
      <c r="A131" s="48"/>
      <c r="B131" s="44"/>
    </row>
    <row r="132" spans="1:2" x14ac:dyDescent="0.3">
      <c r="A132" s="48"/>
      <c r="B132" s="44"/>
    </row>
    <row r="133" spans="1:2" x14ac:dyDescent="0.3">
      <c r="A133" s="48"/>
      <c r="B133" s="44"/>
    </row>
    <row r="134" spans="1:2" x14ac:dyDescent="0.3">
      <c r="A134" s="48"/>
      <c r="B134" s="44"/>
    </row>
    <row r="135" spans="1:2" x14ac:dyDescent="0.3">
      <c r="A135" s="48"/>
      <c r="B135" s="44"/>
    </row>
    <row r="136" spans="1:2" x14ac:dyDescent="0.3">
      <c r="A136" s="48"/>
      <c r="B136" s="44"/>
    </row>
    <row r="137" spans="1:2" x14ac:dyDescent="0.3">
      <c r="A137" s="48"/>
      <c r="B137" s="44"/>
    </row>
    <row r="138" spans="1:2" x14ac:dyDescent="0.3">
      <c r="A138" s="48"/>
      <c r="B138" s="44"/>
    </row>
    <row r="139" spans="1:2" x14ac:dyDescent="0.3">
      <c r="A139" s="48"/>
      <c r="B139" s="44"/>
    </row>
    <row r="140" spans="1:2" x14ac:dyDescent="0.3">
      <c r="A140" s="48"/>
      <c r="B140" s="44"/>
    </row>
    <row r="141" spans="1:2" x14ac:dyDescent="0.3">
      <c r="A141" s="48"/>
      <c r="B141" s="44"/>
    </row>
    <row r="142" spans="1:2" x14ac:dyDescent="0.3">
      <c r="A142" s="48"/>
      <c r="B142" s="44"/>
    </row>
    <row r="143" spans="1:2" x14ac:dyDescent="0.3">
      <c r="A143" s="48"/>
      <c r="B143" s="44"/>
    </row>
    <row r="144" spans="1:2" x14ac:dyDescent="0.3">
      <c r="A144" s="48"/>
      <c r="B144" s="44"/>
    </row>
    <row r="145" spans="1:2" x14ac:dyDescent="0.3">
      <c r="A145" s="48"/>
      <c r="B145" s="44"/>
    </row>
    <row r="146" spans="1:2" x14ac:dyDescent="0.3">
      <c r="A146" s="48"/>
      <c r="B146" s="44"/>
    </row>
    <row r="147" spans="1:2" x14ac:dyDescent="0.3">
      <c r="A147" s="48"/>
      <c r="B147" s="44"/>
    </row>
    <row r="148" spans="1:2" x14ac:dyDescent="0.3">
      <c r="A148" s="48"/>
      <c r="B148" s="44"/>
    </row>
    <row r="149" spans="1:2" x14ac:dyDescent="0.3">
      <c r="A149" s="48"/>
      <c r="B149" s="44"/>
    </row>
    <row r="150" spans="1:2" x14ac:dyDescent="0.3">
      <c r="A150" s="48"/>
      <c r="B150" s="44"/>
    </row>
    <row r="151" spans="1:2" x14ac:dyDescent="0.3">
      <c r="A151" s="48"/>
      <c r="B151" s="44"/>
    </row>
    <row r="152" spans="1:2" x14ac:dyDescent="0.3">
      <c r="A152" s="48"/>
      <c r="B152" s="44"/>
    </row>
    <row r="153" spans="1:2" x14ac:dyDescent="0.3">
      <c r="A153" s="48"/>
      <c r="B153" s="44"/>
    </row>
    <row r="154" spans="1:2" x14ac:dyDescent="0.3">
      <c r="A154" s="48"/>
      <c r="B154" s="44"/>
    </row>
    <row r="155" spans="1:2" x14ac:dyDescent="0.3">
      <c r="A155" s="48"/>
      <c r="B155" s="44"/>
    </row>
    <row r="156" spans="1:2" x14ac:dyDescent="0.3">
      <c r="A156" s="48"/>
      <c r="B156" s="44"/>
    </row>
    <row r="157" spans="1:2" x14ac:dyDescent="0.3">
      <c r="A157" s="48"/>
      <c r="B157" s="44"/>
    </row>
    <row r="158" spans="1:2" x14ac:dyDescent="0.3">
      <c r="A158" s="48"/>
      <c r="B158" s="44"/>
    </row>
    <row r="159" spans="1:2" x14ac:dyDescent="0.3">
      <c r="A159" s="48"/>
      <c r="B159" s="44"/>
    </row>
    <row r="160" spans="1:2" x14ac:dyDescent="0.3">
      <c r="A160" s="48"/>
      <c r="B160" s="44"/>
    </row>
    <row r="161" spans="1:2" x14ac:dyDescent="0.3">
      <c r="A161" s="48"/>
      <c r="B161" s="44"/>
    </row>
    <row r="162" spans="1:2" x14ac:dyDescent="0.3">
      <c r="A162" s="48"/>
      <c r="B162" s="44"/>
    </row>
    <row r="163" spans="1:2" x14ac:dyDescent="0.3">
      <c r="A163" s="48"/>
      <c r="B163" s="44"/>
    </row>
    <row r="164" spans="1:2" x14ac:dyDescent="0.3">
      <c r="A164" s="48"/>
      <c r="B164" s="44"/>
    </row>
    <row r="165" spans="1:2" x14ac:dyDescent="0.3">
      <c r="A165" s="48"/>
      <c r="B165" s="44"/>
    </row>
    <row r="166" spans="1:2" x14ac:dyDescent="0.3">
      <c r="A166" s="48"/>
      <c r="B166" s="44"/>
    </row>
    <row r="167" spans="1:2" x14ac:dyDescent="0.3">
      <c r="A167" s="48"/>
      <c r="B167" s="44"/>
    </row>
    <row r="168" spans="1:2" x14ac:dyDescent="0.3">
      <c r="A168" s="48"/>
      <c r="B168" s="44"/>
    </row>
    <row r="169" spans="1:2" x14ac:dyDescent="0.3">
      <c r="A169" s="48"/>
      <c r="B169" s="44"/>
    </row>
    <row r="170" spans="1:2" x14ac:dyDescent="0.3">
      <c r="A170" s="48"/>
      <c r="B170" s="44"/>
    </row>
    <row r="171" spans="1:2" x14ac:dyDescent="0.3">
      <c r="A171" s="48"/>
      <c r="B171" s="44"/>
    </row>
    <row r="172" spans="1:2" x14ac:dyDescent="0.3">
      <c r="A172" s="48"/>
      <c r="B172" s="44"/>
    </row>
    <row r="173" spans="1:2" x14ac:dyDescent="0.3">
      <c r="A173" s="48"/>
      <c r="B173" s="44"/>
    </row>
    <row r="174" spans="1:2" x14ac:dyDescent="0.3">
      <c r="A174" s="48"/>
      <c r="B174" s="44"/>
    </row>
    <row r="175" spans="1:2" x14ac:dyDescent="0.3">
      <c r="A175" s="48"/>
      <c r="B175" s="44"/>
    </row>
    <row r="176" spans="1:2" x14ac:dyDescent="0.3">
      <c r="A176" s="48"/>
      <c r="B176" s="44"/>
    </row>
    <row r="177" spans="1:2" x14ac:dyDescent="0.3">
      <c r="A177" s="48"/>
      <c r="B177" s="44"/>
    </row>
    <row r="178" spans="1:2" x14ac:dyDescent="0.3">
      <c r="A178" s="48"/>
      <c r="B178" s="44"/>
    </row>
    <row r="179" spans="1:2" x14ac:dyDescent="0.3">
      <c r="A179" s="48"/>
      <c r="B179" s="44"/>
    </row>
    <row r="180" spans="1:2" x14ac:dyDescent="0.3">
      <c r="A180" s="48"/>
      <c r="B180" s="44"/>
    </row>
    <row r="181" spans="1:2" x14ac:dyDescent="0.3">
      <c r="A181" s="48"/>
      <c r="B181" s="44"/>
    </row>
    <row r="182" spans="1:2" x14ac:dyDescent="0.3">
      <c r="A182" s="48"/>
      <c r="B182" s="44"/>
    </row>
    <row r="183" spans="1:2" x14ac:dyDescent="0.3">
      <c r="A183" s="48"/>
      <c r="B183" s="44"/>
    </row>
    <row r="184" spans="1:2" x14ac:dyDescent="0.3">
      <c r="A184" s="48"/>
      <c r="B184" s="44"/>
    </row>
    <row r="185" spans="1:2" x14ac:dyDescent="0.3">
      <c r="A185" s="48"/>
      <c r="B185" s="44"/>
    </row>
    <row r="186" spans="1:2" x14ac:dyDescent="0.3">
      <c r="A186" s="48"/>
      <c r="B186" s="44"/>
    </row>
    <row r="187" spans="1:2" x14ac:dyDescent="0.3">
      <c r="A187" s="48"/>
      <c r="B187" s="44"/>
    </row>
    <row r="188" spans="1:2" x14ac:dyDescent="0.3">
      <c r="A188" s="48"/>
      <c r="B188" s="44"/>
    </row>
    <row r="189" spans="1:2" x14ac:dyDescent="0.3">
      <c r="A189" s="48"/>
      <c r="B189" s="44"/>
    </row>
    <row r="190" spans="1:2" x14ac:dyDescent="0.3">
      <c r="A190" s="48"/>
      <c r="B190" s="44"/>
    </row>
    <row r="191" spans="1:2" x14ac:dyDescent="0.3">
      <c r="A191" s="48"/>
      <c r="B191" s="44"/>
    </row>
    <row r="192" spans="1:2" x14ac:dyDescent="0.3">
      <c r="A192" s="48"/>
      <c r="B192" s="44"/>
    </row>
    <row r="193" spans="1:2" x14ac:dyDescent="0.3">
      <c r="A193" s="48"/>
      <c r="B193" s="44"/>
    </row>
    <row r="194" spans="1:2" x14ac:dyDescent="0.3">
      <c r="A194" s="48"/>
      <c r="B194" s="44"/>
    </row>
    <row r="195" spans="1:2" x14ac:dyDescent="0.3">
      <c r="A195" s="48"/>
      <c r="B195" s="44"/>
    </row>
    <row r="196" spans="1:2" x14ac:dyDescent="0.3">
      <c r="A196" s="48"/>
      <c r="B196" s="44"/>
    </row>
    <row r="197" spans="1:2" x14ac:dyDescent="0.3">
      <c r="A197" s="48"/>
      <c r="B197" s="44"/>
    </row>
    <row r="198" spans="1:2" x14ac:dyDescent="0.3">
      <c r="A198" s="48"/>
      <c r="B198" s="44"/>
    </row>
    <row r="199" spans="1:2" x14ac:dyDescent="0.3">
      <c r="A199" s="48"/>
      <c r="B199" s="44"/>
    </row>
    <row r="200" spans="1:2" x14ac:dyDescent="0.3">
      <c r="A200" s="48"/>
      <c r="B200" s="44"/>
    </row>
    <row r="201" spans="1:2" x14ac:dyDescent="0.3">
      <c r="A201" s="48"/>
      <c r="B201" s="44"/>
    </row>
    <row r="202" spans="1:2" x14ac:dyDescent="0.3">
      <c r="A202" s="48"/>
      <c r="B202" s="44"/>
    </row>
    <row r="203" spans="1:2" x14ac:dyDescent="0.3">
      <c r="A203" s="48"/>
      <c r="B203" s="44"/>
    </row>
    <row r="204" spans="1:2" x14ac:dyDescent="0.3">
      <c r="A204" s="48"/>
      <c r="B204" s="44"/>
    </row>
    <row r="205" spans="1:2" x14ac:dyDescent="0.3">
      <c r="A205" s="48"/>
      <c r="B205" s="44"/>
    </row>
    <row r="206" spans="1:2" x14ac:dyDescent="0.3">
      <c r="A206" s="48"/>
      <c r="B206" s="44"/>
    </row>
    <row r="207" spans="1:2" x14ac:dyDescent="0.3">
      <c r="A207" s="48"/>
      <c r="B207" s="44"/>
    </row>
    <row r="208" spans="1:2" x14ac:dyDescent="0.3">
      <c r="A208" s="48"/>
      <c r="B208" s="44"/>
    </row>
    <row r="209" spans="1:2" x14ac:dyDescent="0.3">
      <c r="A209" s="48"/>
      <c r="B209" s="44"/>
    </row>
    <row r="210" spans="1:2" x14ac:dyDescent="0.3">
      <c r="A210" s="48"/>
      <c r="B210" s="44"/>
    </row>
    <row r="211" spans="1:2" x14ac:dyDescent="0.3">
      <c r="A211" s="48"/>
      <c r="B211" s="44"/>
    </row>
    <row r="212" spans="1:2" x14ac:dyDescent="0.3">
      <c r="A212" s="48"/>
      <c r="B212" s="44"/>
    </row>
    <row r="213" spans="1:2" x14ac:dyDescent="0.3">
      <c r="A213" s="48"/>
      <c r="B213" s="44"/>
    </row>
    <row r="214" spans="1:2" x14ac:dyDescent="0.3">
      <c r="A214" s="48"/>
      <c r="B214" s="44"/>
    </row>
    <row r="215" spans="1:2" x14ac:dyDescent="0.3">
      <c r="A215" s="48"/>
      <c r="B215" s="44"/>
    </row>
    <row r="216" spans="1:2" x14ac:dyDescent="0.3">
      <c r="A216" s="48"/>
      <c r="B216" s="44"/>
    </row>
    <row r="217" spans="1:2" x14ac:dyDescent="0.3">
      <c r="A217" s="48"/>
      <c r="B217" s="44"/>
    </row>
    <row r="218" spans="1:2" x14ac:dyDescent="0.3">
      <c r="A218" s="48"/>
      <c r="B218" s="44"/>
    </row>
    <row r="219" spans="1:2" x14ac:dyDescent="0.3">
      <c r="A219" s="48"/>
      <c r="B219" s="44"/>
    </row>
    <row r="220" spans="1:2" x14ac:dyDescent="0.3">
      <c r="A220" s="48"/>
      <c r="B220" s="44"/>
    </row>
    <row r="221" spans="1:2" x14ac:dyDescent="0.3">
      <c r="A221" s="48"/>
      <c r="B221" s="44"/>
    </row>
    <row r="222" spans="1:2" x14ac:dyDescent="0.3">
      <c r="A222" s="48"/>
      <c r="B222" s="44"/>
    </row>
    <row r="223" spans="1:2" x14ac:dyDescent="0.3">
      <c r="A223" s="48"/>
      <c r="B223" s="44"/>
    </row>
    <row r="224" spans="1:2" x14ac:dyDescent="0.3">
      <c r="A224" s="48"/>
      <c r="B224" s="44"/>
    </row>
    <row r="225" spans="1:2" x14ac:dyDescent="0.3">
      <c r="A225" s="48"/>
      <c r="B225" s="44"/>
    </row>
    <row r="226" spans="1:2" x14ac:dyDescent="0.3">
      <c r="A226" s="48"/>
      <c r="B226" s="44"/>
    </row>
    <row r="227" spans="1:2" x14ac:dyDescent="0.3">
      <c r="A227" s="48"/>
      <c r="B227" s="44"/>
    </row>
    <row r="228" spans="1:2" x14ac:dyDescent="0.3">
      <c r="A228" s="48"/>
      <c r="B228" s="44"/>
    </row>
    <row r="229" spans="1:2" x14ac:dyDescent="0.3">
      <c r="A229" s="48"/>
      <c r="B229" s="44"/>
    </row>
    <row r="230" spans="1:2" x14ac:dyDescent="0.3">
      <c r="A230" s="48"/>
      <c r="B230" s="44"/>
    </row>
    <row r="231" spans="1:2" x14ac:dyDescent="0.3">
      <c r="A231" s="48"/>
      <c r="B231" s="44"/>
    </row>
    <row r="232" spans="1:2" x14ac:dyDescent="0.3">
      <c r="A232" s="48"/>
      <c r="B232" s="44"/>
    </row>
    <row r="233" spans="1:2" x14ac:dyDescent="0.3">
      <c r="A233" s="48"/>
      <c r="B233" s="44"/>
    </row>
    <row r="234" spans="1:2" x14ac:dyDescent="0.3">
      <c r="A234" s="48"/>
      <c r="B234" s="44"/>
    </row>
    <row r="235" spans="1:2" x14ac:dyDescent="0.3">
      <c r="A235" s="48"/>
      <c r="B235" s="44"/>
    </row>
    <row r="236" spans="1:2" x14ac:dyDescent="0.3">
      <c r="A236" s="48"/>
      <c r="B236" s="44"/>
    </row>
    <row r="237" spans="1:2" x14ac:dyDescent="0.3">
      <c r="A237" s="48"/>
      <c r="B237" s="44"/>
    </row>
    <row r="238" spans="1:2" x14ac:dyDescent="0.3">
      <c r="A238" s="48"/>
      <c r="B238" s="44"/>
    </row>
    <row r="239" spans="1:2" x14ac:dyDescent="0.3">
      <c r="A239" s="48"/>
      <c r="B239" s="44"/>
    </row>
    <row r="240" spans="1:2" x14ac:dyDescent="0.3">
      <c r="A240" s="48"/>
      <c r="B240" s="44"/>
    </row>
    <row r="241" spans="1:2" x14ac:dyDescent="0.3">
      <c r="A241" s="48"/>
      <c r="B241" s="44"/>
    </row>
    <row r="242" spans="1:2" x14ac:dyDescent="0.3">
      <c r="A242" s="48"/>
      <c r="B242" s="44"/>
    </row>
    <row r="243" spans="1:2" x14ac:dyDescent="0.3">
      <c r="A243" s="48"/>
      <c r="B243" s="44"/>
    </row>
    <row r="244" spans="1:2" x14ac:dyDescent="0.3">
      <c r="A244" s="48"/>
      <c r="B244" s="44"/>
    </row>
    <row r="245" spans="1:2" x14ac:dyDescent="0.3">
      <c r="A245" s="48"/>
      <c r="B245" s="44"/>
    </row>
    <row r="246" spans="1:2" x14ac:dyDescent="0.3">
      <c r="A246" s="48"/>
      <c r="B246" s="44"/>
    </row>
    <row r="247" spans="1:2" x14ac:dyDescent="0.3">
      <c r="A247" s="48"/>
      <c r="B247" s="44"/>
    </row>
    <row r="248" spans="1:2" x14ac:dyDescent="0.3">
      <c r="A248" s="48"/>
      <c r="B248" s="44"/>
    </row>
    <row r="249" spans="1:2" x14ac:dyDescent="0.3">
      <c r="A249" s="48"/>
      <c r="B249" s="44"/>
    </row>
    <row r="250" spans="1:2" x14ac:dyDescent="0.3">
      <c r="A250" s="48"/>
      <c r="B250" s="44"/>
    </row>
    <row r="251" spans="1:2" x14ac:dyDescent="0.3">
      <c r="A251" s="48"/>
      <c r="B251" s="44"/>
    </row>
    <row r="252" spans="1:2" x14ac:dyDescent="0.3">
      <c r="A252" s="48"/>
      <c r="B252" s="44"/>
    </row>
    <row r="253" spans="1:2" x14ac:dyDescent="0.3">
      <c r="A253" s="48"/>
      <c r="B253" s="44"/>
    </row>
    <row r="254" spans="1:2" x14ac:dyDescent="0.3">
      <c r="A254" s="48"/>
      <c r="B254" s="44"/>
    </row>
    <row r="255" spans="1:2" x14ac:dyDescent="0.3">
      <c r="A255" s="48"/>
      <c r="B255" s="44"/>
    </row>
    <row r="256" spans="1:2" x14ac:dyDescent="0.3">
      <c r="A256" s="48"/>
      <c r="B256" s="44"/>
    </row>
    <row r="257" spans="1:2" x14ac:dyDescent="0.3">
      <c r="A257" s="48"/>
      <c r="B257" s="44"/>
    </row>
    <row r="258" spans="1:2" x14ac:dyDescent="0.3">
      <c r="A258" s="48"/>
      <c r="B258" s="44"/>
    </row>
    <row r="259" spans="1:2" x14ac:dyDescent="0.3">
      <c r="A259" s="48"/>
      <c r="B259" s="44"/>
    </row>
    <row r="260" spans="1:2" x14ac:dyDescent="0.3">
      <c r="A260" s="48"/>
      <c r="B260" s="44"/>
    </row>
    <row r="261" spans="1:2" x14ac:dyDescent="0.3">
      <c r="A261" s="48"/>
      <c r="B261" s="44"/>
    </row>
    <row r="262" spans="1:2" x14ac:dyDescent="0.3">
      <c r="A262" s="48"/>
      <c r="B262" s="44"/>
    </row>
    <row r="263" spans="1:2" x14ac:dyDescent="0.3">
      <c r="A263" s="48"/>
      <c r="B263" s="44"/>
    </row>
    <row r="264" spans="1:2" x14ac:dyDescent="0.3">
      <c r="A264" s="48"/>
      <c r="B264" s="44"/>
    </row>
    <row r="265" spans="1:2" x14ac:dyDescent="0.3">
      <c r="A265" s="48"/>
      <c r="B265" s="44"/>
    </row>
    <row r="266" spans="1:2" x14ac:dyDescent="0.3">
      <c r="A266" s="48"/>
      <c r="B266" s="44"/>
    </row>
    <row r="267" spans="1:2" x14ac:dyDescent="0.3">
      <c r="A267" s="48"/>
      <c r="B267" s="44"/>
    </row>
    <row r="268" spans="1:2" x14ac:dyDescent="0.3">
      <c r="A268" s="48"/>
      <c r="B268" s="44"/>
    </row>
    <row r="269" spans="1:2" x14ac:dyDescent="0.3">
      <c r="A269" s="48"/>
      <c r="B269" s="44"/>
    </row>
    <row r="270" spans="1:2" x14ac:dyDescent="0.3">
      <c r="A270" s="48"/>
      <c r="B270" s="44"/>
    </row>
    <row r="271" spans="1:2" x14ac:dyDescent="0.3">
      <c r="A271" s="48"/>
      <c r="B271" s="44"/>
    </row>
    <row r="272" spans="1:2" x14ac:dyDescent="0.3">
      <c r="A272" s="48"/>
      <c r="B272" s="44"/>
    </row>
    <row r="273" spans="1:2" x14ac:dyDescent="0.3">
      <c r="A273" s="48"/>
      <c r="B273" s="44"/>
    </row>
    <row r="274" spans="1:2" x14ac:dyDescent="0.3">
      <c r="A274" s="48"/>
      <c r="B274" s="44"/>
    </row>
    <row r="275" spans="1:2" x14ac:dyDescent="0.3">
      <c r="A275" s="48"/>
      <c r="B275" s="44"/>
    </row>
    <row r="276" spans="1:2" x14ac:dyDescent="0.3">
      <c r="A276" s="48"/>
      <c r="B276" s="44"/>
    </row>
    <row r="277" spans="1:2" x14ac:dyDescent="0.3">
      <c r="A277" s="48"/>
      <c r="B277" s="44"/>
    </row>
    <row r="278" spans="1:2" x14ac:dyDescent="0.3">
      <c r="A278" s="48"/>
      <c r="B278" s="44"/>
    </row>
    <row r="279" spans="1:2" x14ac:dyDescent="0.3">
      <c r="A279" s="48"/>
      <c r="B279" s="44"/>
    </row>
    <row r="280" spans="1:2" x14ac:dyDescent="0.3">
      <c r="A280" s="48"/>
      <c r="B280" s="44"/>
    </row>
    <row r="281" spans="1:2" x14ac:dyDescent="0.3">
      <c r="A281" s="48"/>
      <c r="B281" s="44"/>
    </row>
    <row r="282" spans="1:2" x14ac:dyDescent="0.3">
      <c r="A282" s="48"/>
      <c r="B282" s="44"/>
    </row>
    <row r="283" spans="1:2" x14ac:dyDescent="0.3">
      <c r="A283" s="48"/>
      <c r="B283" s="44"/>
    </row>
    <row r="284" spans="1:2" x14ac:dyDescent="0.3">
      <c r="A284" s="48"/>
      <c r="B284" s="44"/>
    </row>
    <row r="285" spans="1:2" x14ac:dyDescent="0.3">
      <c r="A285" s="48"/>
      <c r="B285" s="44"/>
    </row>
    <row r="286" spans="1:2" x14ac:dyDescent="0.3">
      <c r="A286" s="48"/>
      <c r="B286" s="44"/>
    </row>
    <row r="287" spans="1:2" x14ac:dyDescent="0.3">
      <c r="A287" s="48"/>
      <c r="B287" s="44"/>
    </row>
    <row r="288" spans="1:2" x14ac:dyDescent="0.3">
      <c r="A288" s="48"/>
      <c r="B288" s="44"/>
    </row>
    <row r="289" spans="1:2" x14ac:dyDescent="0.3">
      <c r="A289" s="48"/>
      <c r="B289" s="44"/>
    </row>
    <row r="290" spans="1:2" x14ac:dyDescent="0.3">
      <c r="A290" s="48"/>
      <c r="B290" s="44"/>
    </row>
    <row r="291" spans="1:2" x14ac:dyDescent="0.3">
      <c r="A291" s="48"/>
      <c r="B291" s="44"/>
    </row>
    <row r="292" spans="1:2" x14ac:dyDescent="0.3">
      <c r="A292" s="48"/>
      <c r="B292" s="44"/>
    </row>
    <row r="293" spans="1:2" x14ac:dyDescent="0.3">
      <c r="A293" s="48"/>
      <c r="B293" s="44"/>
    </row>
    <row r="294" spans="1:2" x14ac:dyDescent="0.3">
      <c r="A294" s="48"/>
      <c r="B294" s="44"/>
    </row>
    <row r="295" spans="1:2" x14ac:dyDescent="0.3">
      <c r="A295" s="48"/>
      <c r="B295" s="44"/>
    </row>
    <row r="296" spans="1:2" x14ac:dyDescent="0.3">
      <c r="A296" s="48"/>
      <c r="B296" s="44"/>
    </row>
    <row r="297" spans="1:2" x14ac:dyDescent="0.3">
      <c r="A297" s="48"/>
      <c r="B297" s="44"/>
    </row>
    <row r="298" spans="1:2" x14ac:dyDescent="0.3">
      <c r="A298" s="48"/>
      <c r="B298" s="44"/>
    </row>
    <row r="299" spans="1:2" x14ac:dyDescent="0.3">
      <c r="A299" s="48"/>
      <c r="B299" s="44"/>
    </row>
    <row r="300" spans="1:2" x14ac:dyDescent="0.3">
      <c r="A300" s="48"/>
      <c r="B300" s="44"/>
    </row>
    <row r="301" spans="1:2" x14ac:dyDescent="0.3">
      <c r="A301" s="48"/>
      <c r="B301" s="44"/>
    </row>
    <row r="302" spans="1:2" x14ac:dyDescent="0.3">
      <c r="A302" s="48"/>
      <c r="B302" s="44"/>
    </row>
    <row r="303" spans="1:2" x14ac:dyDescent="0.3">
      <c r="A303" s="48"/>
      <c r="B303" s="44"/>
    </row>
    <row r="304" spans="1:2" x14ac:dyDescent="0.3">
      <c r="A304" s="48"/>
      <c r="B304" s="44"/>
    </row>
    <row r="305" spans="1:2" x14ac:dyDescent="0.3">
      <c r="A305" s="48"/>
      <c r="B305" s="44"/>
    </row>
    <row r="306" spans="1:2" x14ac:dyDescent="0.3">
      <c r="A306" s="48"/>
      <c r="B306" s="44"/>
    </row>
    <row r="307" spans="1:2" x14ac:dyDescent="0.3">
      <c r="A307" s="48"/>
      <c r="B307" s="44"/>
    </row>
    <row r="308" spans="1:2" x14ac:dyDescent="0.3">
      <c r="A308" s="48"/>
      <c r="B308" s="44"/>
    </row>
    <row r="309" spans="1:2" x14ac:dyDescent="0.3">
      <c r="A309" s="48"/>
      <c r="B309" s="44"/>
    </row>
    <row r="310" spans="1:2" x14ac:dyDescent="0.3">
      <c r="A310" s="48"/>
      <c r="B310" s="44"/>
    </row>
    <row r="311" spans="1:2" x14ac:dyDescent="0.3">
      <c r="A311" s="48"/>
      <c r="B311" s="44"/>
    </row>
    <row r="312" spans="1:2" x14ac:dyDescent="0.3">
      <c r="A312" s="48"/>
      <c r="B312" s="44"/>
    </row>
    <row r="313" spans="1:2" x14ac:dyDescent="0.3">
      <c r="A313" s="48"/>
      <c r="B313" s="44"/>
    </row>
    <row r="314" spans="1:2" x14ac:dyDescent="0.3">
      <c r="A314" s="48"/>
      <c r="B314" s="44"/>
    </row>
    <row r="315" spans="1:2" x14ac:dyDescent="0.3">
      <c r="A315" s="48"/>
      <c r="B315" s="44"/>
    </row>
    <row r="316" spans="1:2" x14ac:dyDescent="0.3">
      <c r="A316" s="48"/>
      <c r="B316" s="44"/>
    </row>
    <row r="317" spans="1:2" x14ac:dyDescent="0.3">
      <c r="A317" s="48"/>
      <c r="B317" s="44"/>
    </row>
    <row r="318" spans="1:2" x14ac:dyDescent="0.3">
      <c r="A318" s="48"/>
      <c r="B318" s="44"/>
    </row>
    <row r="319" spans="1:2" x14ac:dyDescent="0.3">
      <c r="A319" s="48"/>
      <c r="B319" s="44"/>
    </row>
    <row r="320" spans="1:2" x14ac:dyDescent="0.3">
      <c r="A320" s="48"/>
      <c r="B320" s="44"/>
    </row>
    <row r="321" spans="1:2" x14ac:dyDescent="0.3">
      <c r="A321" s="48"/>
      <c r="B321" s="44"/>
    </row>
    <row r="322" spans="1:2" x14ac:dyDescent="0.3">
      <c r="A322" s="48"/>
      <c r="B322" s="44"/>
    </row>
    <row r="323" spans="1:2" x14ac:dyDescent="0.3">
      <c r="A323" s="48"/>
      <c r="B323" s="44"/>
    </row>
    <row r="324" spans="1:2" x14ac:dyDescent="0.3">
      <c r="A324" s="48"/>
      <c r="B324" s="44"/>
    </row>
    <row r="325" spans="1:2" x14ac:dyDescent="0.3">
      <c r="A325" s="48"/>
      <c r="B325" s="44"/>
    </row>
    <row r="326" spans="1:2" x14ac:dyDescent="0.3">
      <c r="A326" s="48"/>
      <c r="B326" s="44"/>
    </row>
    <row r="327" spans="1:2" x14ac:dyDescent="0.3">
      <c r="A327" s="48"/>
      <c r="B327" s="44"/>
    </row>
    <row r="328" spans="1:2" x14ac:dyDescent="0.3">
      <c r="A328" s="48"/>
      <c r="B328" s="44"/>
    </row>
    <row r="329" spans="1:2" x14ac:dyDescent="0.3">
      <c r="A329" s="48"/>
      <c r="B329" s="44"/>
    </row>
    <row r="330" spans="1:2" x14ac:dyDescent="0.3">
      <c r="A330" s="48"/>
      <c r="B330" s="44"/>
    </row>
    <row r="331" spans="1:2" x14ac:dyDescent="0.3">
      <c r="A331" s="48"/>
      <c r="B331" s="44"/>
    </row>
    <row r="332" spans="1:2" x14ac:dyDescent="0.3">
      <c r="A332" s="48"/>
      <c r="B332" s="44"/>
    </row>
    <row r="333" spans="1:2" x14ac:dyDescent="0.3">
      <c r="A333" s="48"/>
      <c r="B333" s="44"/>
    </row>
    <row r="334" spans="1:2" x14ac:dyDescent="0.3">
      <c r="A334" s="48"/>
      <c r="B334" s="44"/>
    </row>
    <row r="335" spans="1:2" x14ac:dyDescent="0.3">
      <c r="A335" s="48"/>
      <c r="B335" s="44"/>
    </row>
    <row r="336" spans="1:2" x14ac:dyDescent="0.3">
      <c r="A336" s="48"/>
      <c r="B336" s="44"/>
    </row>
    <row r="337" spans="1:2" x14ac:dyDescent="0.3">
      <c r="A337" s="48"/>
      <c r="B337" s="44"/>
    </row>
    <row r="338" spans="1:2" x14ac:dyDescent="0.3">
      <c r="A338" s="48"/>
      <c r="B338" s="44"/>
    </row>
    <row r="339" spans="1:2" x14ac:dyDescent="0.3">
      <c r="A339" s="48"/>
      <c r="B339" s="44"/>
    </row>
    <row r="340" spans="1:2" x14ac:dyDescent="0.3">
      <c r="A340" s="48"/>
      <c r="B340" s="44"/>
    </row>
    <row r="341" spans="1:2" x14ac:dyDescent="0.3">
      <c r="A341" s="48"/>
      <c r="B341" s="44"/>
    </row>
    <row r="342" spans="1:2" x14ac:dyDescent="0.3">
      <c r="A342" s="48"/>
      <c r="B342" s="44"/>
    </row>
    <row r="343" spans="1:2" x14ac:dyDescent="0.3">
      <c r="A343" s="48"/>
      <c r="B343" s="44"/>
    </row>
    <row r="344" spans="1:2" x14ac:dyDescent="0.3">
      <c r="A344" s="48"/>
      <c r="B344" s="44"/>
    </row>
    <row r="345" spans="1:2" x14ac:dyDescent="0.3">
      <c r="A345" s="48"/>
      <c r="B345" s="44"/>
    </row>
    <row r="346" spans="1:2" x14ac:dyDescent="0.3">
      <c r="A346" s="48"/>
      <c r="B346" s="44"/>
    </row>
    <row r="347" spans="1:2" x14ac:dyDescent="0.3">
      <c r="A347" s="48"/>
      <c r="B347" s="44"/>
    </row>
    <row r="348" spans="1:2" x14ac:dyDescent="0.3">
      <c r="A348" s="48"/>
      <c r="B348" s="44"/>
    </row>
    <row r="349" spans="1:2" x14ac:dyDescent="0.3">
      <c r="A349" s="48"/>
      <c r="B349" s="44"/>
    </row>
    <row r="350" spans="1:2" x14ac:dyDescent="0.3">
      <c r="A350" s="48"/>
      <c r="B350" s="44"/>
    </row>
    <row r="351" spans="1:2" x14ac:dyDescent="0.3">
      <c r="A351" s="48"/>
      <c r="B351" s="44"/>
    </row>
    <row r="352" spans="1:2" x14ac:dyDescent="0.3">
      <c r="A352" s="48"/>
      <c r="B352" s="44"/>
    </row>
    <row r="353" spans="1:2" x14ac:dyDescent="0.3">
      <c r="A353" s="48"/>
      <c r="B353" s="44"/>
    </row>
    <row r="354" spans="1:2" x14ac:dyDescent="0.3">
      <c r="A354" s="48"/>
      <c r="B354" s="44"/>
    </row>
    <row r="355" spans="1:2" x14ac:dyDescent="0.3">
      <c r="A355" s="48"/>
      <c r="B355" s="44"/>
    </row>
    <row r="356" spans="1:2" x14ac:dyDescent="0.3">
      <c r="A356" s="48"/>
      <c r="B356" s="44"/>
    </row>
    <row r="357" spans="1:2" x14ac:dyDescent="0.3">
      <c r="A357" s="48"/>
      <c r="B357" s="44"/>
    </row>
    <row r="358" spans="1:2" x14ac:dyDescent="0.3">
      <c r="A358" s="48"/>
      <c r="B358" s="44"/>
    </row>
    <row r="359" spans="1:2" x14ac:dyDescent="0.3">
      <c r="A359" s="48"/>
      <c r="B359" s="44"/>
    </row>
    <row r="360" spans="1:2" x14ac:dyDescent="0.3">
      <c r="A360" s="48"/>
      <c r="B360" s="44"/>
    </row>
    <row r="361" spans="1:2" x14ac:dyDescent="0.3">
      <c r="A361" s="48"/>
      <c r="B361" s="44"/>
    </row>
    <row r="362" spans="1:2" x14ac:dyDescent="0.3">
      <c r="A362" s="48"/>
      <c r="B362" s="44"/>
    </row>
    <row r="363" spans="1:2" x14ac:dyDescent="0.3">
      <c r="A363" s="48"/>
      <c r="B363" s="44"/>
    </row>
    <row r="364" spans="1:2" x14ac:dyDescent="0.3">
      <c r="A364" s="48"/>
      <c r="B364" s="44"/>
    </row>
    <row r="365" spans="1:2" x14ac:dyDescent="0.3">
      <c r="A365" s="48"/>
      <c r="B365" s="44"/>
    </row>
    <row r="366" spans="1:2" x14ac:dyDescent="0.3">
      <c r="A366" s="48"/>
      <c r="B366" s="44"/>
    </row>
    <row r="367" spans="1:2" x14ac:dyDescent="0.3">
      <c r="A367" s="48"/>
      <c r="B367" s="44"/>
    </row>
    <row r="368" spans="1:2" x14ac:dyDescent="0.3">
      <c r="A368" s="48"/>
      <c r="B368" s="44"/>
    </row>
    <row r="369" spans="1:2" x14ac:dyDescent="0.3">
      <c r="A369" s="48"/>
      <c r="B369" s="44"/>
    </row>
    <row r="370" spans="1:2" x14ac:dyDescent="0.3">
      <c r="A370" s="48"/>
      <c r="B370" s="44"/>
    </row>
    <row r="371" spans="1:2" x14ac:dyDescent="0.3">
      <c r="A371" s="48"/>
      <c r="B371" s="44"/>
    </row>
    <row r="372" spans="1:2" x14ac:dyDescent="0.3">
      <c r="A372" s="48"/>
      <c r="B372" s="44"/>
    </row>
    <row r="373" spans="1:2" x14ac:dyDescent="0.3">
      <c r="A373" s="48"/>
      <c r="B373" s="44"/>
    </row>
    <row r="374" spans="1:2" x14ac:dyDescent="0.3">
      <c r="A374" s="48"/>
      <c r="B374" s="44"/>
    </row>
    <row r="375" spans="1:2" x14ac:dyDescent="0.3">
      <c r="A375" s="48"/>
      <c r="B375" s="44"/>
    </row>
    <row r="376" spans="1:2" x14ac:dyDescent="0.3">
      <c r="A376" s="48"/>
      <c r="B376" s="44"/>
    </row>
    <row r="377" spans="1:2" x14ac:dyDescent="0.3">
      <c r="A377" s="48"/>
      <c r="B377" s="44"/>
    </row>
    <row r="378" spans="1:2" x14ac:dyDescent="0.3">
      <c r="A378" s="48"/>
      <c r="B378" s="44"/>
    </row>
    <row r="379" spans="1:2" x14ac:dyDescent="0.3">
      <c r="A379" s="48"/>
      <c r="B379" s="44"/>
    </row>
    <row r="380" spans="1:2" x14ac:dyDescent="0.3">
      <c r="A380" s="48"/>
      <c r="B380" s="44"/>
    </row>
    <row r="381" spans="1:2" x14ac:dyDescent="0.3">
      <c r="A381" s="48"/>
      <c r="B381" s="44"/>
    </row>
    <row r="382" spans="1:2" x14ac:dyDescent="0.3">
      <c r="A382" s="48"/>
      <c r="B382" s="44"/>
    </row>
    <row r="383" spans="1:2" x14ac:dyDescent="0.3">
      <c r="A383" s="48"/>
      <c r="B383" s="44"/>
    </row>
    <row r="384" spans="1:2" x14ac:dyDescent="0.3">
      <c r="A384" s="48"/>
      <c r="B384" s="44"/>
    </row>
    <row r="385" spans="1:2" x14ac:dyDescent="0.3">
      <c r="A385" s="48"/>
      <c r="B385" s="44"/>
    </row>
    <row r="386" spans="1:2" x14ac:dyDescent="0.3">
      <c r="A386" s="48"/>
      <c r="B386" s="44"/>
    </row>
    <row r="387" spans="1:2" x14ac:dyDescent="0.3">
      <c r="A387" s="48"/>
      <c r="B387" s="44"/>
    </row>
    <row r="388" spans="1:2" x14ac:dyDescent="0.3">
      <c r="A388" s="48"/>
      <c r="B388" s="44"/>
    </row>
    <row r="389" spans="1:2" x14ac:dyDescent="0.3">
      <c r="A389" s="48"/>
      <c r="B389" s="44"/>
    </row>
    <row r="390" spans="1:2" x14ac:dyDescent="0.3">
      <c r="A390" s="48"/>
      <c r="B390" s="44"/>
    </row>
    <row r="391" spans="1:2" x14ac:dyDescent="0.3">
      <c r="A391" s="48"/>
      <c r="B391" s="44"/>
    </row>
    <row r="392" spans="1:2" x14ac:dyDescent="0.3">
      <c r="A392" s="48"/>
      <c r="B392" s="44"/>
    </row>
    <row r="393" spans="1:2" x14ac:dyDescent="0.3">
      <c r="A393" s="48"/>
      <c r="B393" s="44"/>
    </row>
    <row r="394" spans="1:2" x14ac:dyDescent="0.3">
      <c r="A394" s="48"/>
      <c r="B394" s="44"/>
    </row>
    <row r="395" spans="1:2" x14ac:dyDescent="0.3">
      <c r="A395" s="48"/>
      <c r="B395" s="44"/>
    </row>
    <row r="396" spans="1:2" x14ac:dyDescent="0.3">
      <c r="A396" s="48"/>
      <c r="B396" s="44"/>
    </row>
    <row r="397" spans="1:2" x14ac:dyDescent="0.3">
      <c r="A397" s="48"/>
      <c r="B397" s="44"/>
    </row>
    <row r="398" spans="1:2" x14ac:dyDescent="0.3">
      <c r="A398" s="48"/>
      <c r="B398" s="44"/>
    </row>
    <row r="399" spans="1:2" x14ac:dyDescent="0.3">
      <c r="A399" s="48"/>
      <c r="B399" s="44"/>
    </row>
    <row r="400" spans="1:2" x14ac:dyDescent="0.3">
      <c r="A400" s="48"/>
      <c r="B400" s="44"/>
    </row>
    <row r="401" spans="1:2" x14ac:dyDescent="0.3">
      <c r="A401" s="48"/>
      <c r="B401" s="44"/>
    </row>
    <row r="402" spans="1:2" x14ac:dyDescent="0.3">
      <c r="A402" s="48"/>
      <c r="B402" s="44"/>
    </row>
    <row r="403" spans="1:2" x14ac:dyDescent="0.3">
      <c r="A403" s="48"/>
      <c r="B403" s="44"/>
    </row>
    <row r="404" spans="1:2" x14ac:dyDescent="0.3">
      <c r="A404" s="48"/>
      <c r="B404" s="44"/>
    </row>
    <row r="405" spans="1:2" x14ac:dyDescent="0.3">
      <c r="A405" s="48"/>
      <c r="B405" s="44"/>
    </row>
    <row r="406" spans="1:2" x14ac:dyDescent="0.3">
      <c r="A406" s="48"/>
      <c r="B406" s="44"/>
    </row>
    <row r="407" spans="1:2" x14ac:dyDescent="0.3">
      <c r="A407" s="48"/>
      <c r="B407" s="44"/>
    </row>
    <row r="408" spans="1:2" x14ac:dyDescent="0.3">
      <c r="A408" s="48"/>
      <c r="B408" s="44"/>
    </row>
    <row r="409" spans="1:2" x14ac:dyDescent="0.3">
      <c r="A409" s="48"/>
      <c r="B409" s="44"/>
    </row>
    <row r="410" spans="1:2" x14ac:dyDescent="0.3">
      <c r="A410" s="48"/>
      <c r="B410" s="44"/>
    </row>
    <row r="411" spans="1:2" x14ac:dyDescent="0.3">
      <c r="A411" s="48"/>
      <c r="B411" s="44"/>
    </row>
    <row r="412" spans="1:2" x14ac:dyDescent="0.3">
      <c r="A412" s="48"/>
      <c r="B412" s="44"/>
    </row>
    <row r="413" spans="1:2" x14ac:dyDescent="0.3">
      <c r="A413" s="48"/>
      <c r="B413" s="44"/>
    </row>
    <row r="414" spans="1:2" x14ac:dyDescent="0.3">
      <c r="A414" s="48"/>
      <c r="B414" s="44"/>
    </row>
    <row r="415" spans="1:2" x14ac:dyDescent="0.3">
      <c r="A415" s="48"/>
      <c r="B415" s="44"/>
    </row>
    <row r="416" spans="1:2" x14ac:dyDescent="0.3">
      <c r="A416" s="48"/>
      <c r="B416" s="44"/>
    </row>
    <row r="417" spans="1:2" x14ac:dyDescent="0.3">
      <c r="A417" s="48"/>
      <c r="B417" s="44"/>
    </row>
    <row r="418" spans="1:2" x14ac:dyDescent="0.3">
      <c r="A418" s="48"/>
      <c r="B418" s="44"/>
    </row>
    <row r="419" spans="1:2" x14ac:dyDescent="0.3">
      <c r="A419" s="48"/>
      <c r="B419" s="44"/>
    </row>
    <row r="420" spans="1:2" x14ac:dyDescent="0.3">
      <c r="A420" s="48"/>
      <c r="B420" s="44"/>
    </row>
    <row r="421" spans="1:2" x14ac:dyDescent="0.3">
      <c r="A421" s="48"/>
      <c r="B421" s="44"/>
    </row>
    <row r="422" spans="1:2" x14ac:dyDescent="0.3">
      <c r="A422" s="48"/>
      <c r="B422" s="44"/>
    </row>
    <row r="423" spans="1:2" x14ac:dyDescent="0.3">
      <c r="A423" s="48"/>
      <c r="B423" s="44"/>
    </row>
    <row r="424" spans="1:2" x14ac:dyDescent="0.3">
      <c r="A424" s="48"/>
      <c r="B424" s="44"/>
    </row>
    <row r="425" spans="1:2" x14ac:dyDescent="0.3">
      <c r="A425" s="48"/>
      <c r="B425" s="44"/>
    </row>
    <row r="426" spans="1:2" x14ac:dyDescent="0.3">
      <c r="A426" s="48"/>
      <c r="B426" s="44"/>
    </row>
    <row r="427" spans="1:2" x14ac:dyDescent="0.3">
      <c r="A427" s="48"/>
      <c r="B427" s="44"/>
    </row>
    <row r="428" spans="1:2" x14ac:dyDescent="0.3">
      <c r="A428" s="48"/>
      <c r="B428" s="44"/>
    </row>
    <row r="429" spans="1:2" x14ac:dyDescent="0.3">
      <c r="A429" s="48"/>
      <c r="B429" s="44"/>
    </row>
    <row r="430" spans="1:2" x14ac:dyDescent="0.3">
      <c r="A430" s="48"/>
      <c r="B430" s="44"/>
    </row>
    <row r="431" spans="1:2" x14ac:dyDescent="0.3">
      <c r="A431" s="48"/>
      <c r="B431" s="44"/>
    </row>
    <row r="432" spans="1:2" x14ac:dyDescent="0.3">
      <c r="A432" s="48"/>
      <c r="B432" s="44"/>
    </row>
    <row r="433" spans="1:2" x14ac:dyDescent="0.3">
      <c r="A433" s="48"/>
      <c r="B433" s="44"/>
    </row>
    <row r="434" spans="1:2" x14ac:dyDescent="0.3">
      <c r="A434" s="48"/>
      <c r="B434" s="44"/>
    </row>
    <row r="435" spans="1:2" x14ac:dyDescent="0.3">
      <c r="A435" s="48"/>
      <c r="B435" s="44"/>
    </row>
    <row r="436" spans="1:2" x14ac:dyDescent="0.3">
      <c r="A436" s="48"/>
      <c r="B436" s="44"/>
    </row>
    <row r="437" spans="1:2" x14ac:dyDescent="0.3">
      <c r="A437" s="48"/>
      <c r="B437" s="44"/>
    </row>
    <row r="438" spans="1:2" x14ac:dyDescent="0.3">
      <c r="A438" s="48"/>
      <c r="B438" s="44"/>
    </row>
    <row r="439" spans="1:2" x14ac:dyDescent="0.3">
      <c r="A439" s="48"/>
      <c r="B439" s="44"/>
    </row>
    <row r="440" spans="1:2" x14ac:dyDescent="0.3">
      <c r="A440" s="48"/>
      <c r="B440" s="44"/>
    </row>
    <row r="441" spans="1:2" x14ac:dyDescent="0.3">
      <c r="A441" s="48"/>
      <c r="B441" s="44"/>
    </row>
    <row r="442" spans="1:2" x14ac:dyDescent="0.3">
      <c r="A442" s="48"/>
      <c r="B442" s="44"/>
    </row>
    <row r="443" spans="1:2" x14ac:dyDescent="0.3">
      <c r="A443" s="48"/>
      <c r="B443" s="44"/>
    </row>
    <row r="444" spans="1:2" x14ac:dyDescent="0.3">
      <c r="A444" s="48"/>
      <c r="B444" s="44"/>
    </row>
    <row r="445" spans="1:2" x14ac:dyDescent="0.3">
      <c r="A445" s="48"/>
      <c r="B445" s="44"/>
    </row>
    <row r="446" spans="1:2" x14ac:dyDescent="0.3">
      <c r="A446" s="48"/>
      <c r="B446" s="44"/>
    </row>
    <row r="447" spans="1:2" x14ac:dyDescent="0.3">
      <c r="A447" s="48"/>
      <c r="B447" s="44"/>
    </row>
    <row r="448" spans="1:2" x14ac:dyDescent="0.3">
      <c r="A448" s="48"/>
      <c r="B448" s="44"/>
    </row>
    <row r="449" spans="1:2" x14ac:dyDescent="0.3">
      <c r="A449" s="48"/>
      <c r="B449" s="44"/>
    </row>
    <row r="450" spans="1:2" x14ac:dyDescent="0.3">
      <c r="A450" s="48"/>
      <c r="B450" s="44"/>
    </row>
    <row r="451" spans="1:2" x14ac:dyDescent="0.3">
      <c r="A451" s="48"/>
      <c r="B451" s="44"/>
    </row>
    <row r="452" spans="1:2" x14ac:dyDescent="0.3">
      <c r="A452" s="48"/>
      <c r="B452" s="44"/>
    </row>
    <row r="453" spans="1:2" x14ac:dyDescent="0.3">
      <c r="A453" s="48"/>
      <c r="B453" s="44"/>
    </row>
    <row r="454" spans="1:2" x14ac:dyDescent="0.3">
      <c r="A454" s="48"/>
      <c r="B454" s="44"/>
    </row>
    <row r="455" spans="1:2" x14ac:dyDescent="0.3">
      <c r="A455" s="48"/>
      <c r="B455" s="44"/>
    </row>
    <row r="456" spans="1:2" x14ac:dyDescent="0.3">
      <c r="A456" s="48"/>
      <c r="B456" s="44"/>
    </row>
    <row r="457" spans="1:2" x14ac:dyDescent="0.3">
      <c r="A457" s="48"/>
      <c r="B457" s="44"/>
    </row>
    <row r="458" spans="1:2" x14ac:dyDescent="0.3">
      <c r="A458" s="48"/>
      <c r="B458" s="44"/>
    </row>
    <row r="459" spans="1:2" x14ac:dyDescent="0.3">
      <c r="A459" s="48"/>
      <c r="B459" s="44"/>
    </row>
    <row r="460" spans="1:2" x14ac:dyDescent="0.3">
      <c r="A460" s="48"/>
      <c r="B460" s="44"/>
    </row>
    <row r="461" spans="1:2" x14ac:dyDescent="0.3">
      <c r="A461" s="48"/>
      <c r="B461" s="44"/>
    </row>
    <row r="462" spans="1:2" x14ac:dyDescent="0.3">
      <c r="A462" s="48"/>
      <c r="B462" s="44"/>
    </row>
    <row r="463" spans="1:2" x14ac:dyDescent="0.3">
      <c r="A463" s="48"/>
      <c r="B463" s="44"/>
    </row>
    <row r="464" spans="1:2" x14ac:dyDescent="0.3">
      <c r="A464" s="48"/>
      <c r="B464" s="44"/>
    </row>
    <row r="465" spans="1:2" x14ac:dyDescent="0.3">
      <c r="A465" s="48"/>
      <c r="B465" s="44"/>
    </row>
    <row r="466" spans="1:2" x14ac:dyDescent="0.3">
      <c r="A466" s="48"/>
      <c r="B466" s="44"/>
    </row>
    <row r="467" spans="1:2" x14ac:dyDescent="0.3">
      <c r="A467" s="48"/>
      <c r="B467" s="44"/>
    </row>
    <row r="468" spans="1:2" x14ac:dyDescent="0.3">
      <c r="A468" s="48"/>
      <c r="B468" s="44"/>
    </row>
    <row r="469" spans="1:2" x14ac:dyDescent="0.3">
      <c r="A469" s="48"/>
      <c r="B469" s="44"/>
    </row>
    <row r="470" spans="1:2" x14ac:dyDescent="0.3">
      <c r="A470" s="48"/>
      <c r="B470" s="44"/>
    </row>
    <row r="471" spans="1:2" x14ac:dyDescent="0.3">
      <c r="A471" s="48"/>
      <c r="B471" s="44"/>
    </row>
    <row r="472" spans="1:2" x14ac:dyDescent="0.3">
      <c r="A472" s="48"/>
      <c r="B472" s="44"/>
    </row>
    <row r="473" spans="1:2" x14ac:dyDescent="0.3">
      <c r="A473" s="48"/>
      <c r="B473" s="44"/>
    </row>
    <row r="474" spans="1:2" x14ac:dyDescent="0.3">
      <c r="A474" s="48"/>
      <c r="B474" s="44"/>
    </row>
    <row r="475" spans="1:2" x14ac:dyDescent="0.3">
      <c r="A475" s="48"/>
      <c r="B475" s="44"/>
    </row>
    <row r="476" spans="1:2" x14ac:dyDescent="0.3">
      <c r="A476" s="48"/>
      <c r="B476" s="44"/>
    </row>
    <row r="477" spans="1:2" x14ac:dyDescent="0.3">
      <c r="A477" s="48"/>
      <c r="B477" s="44"/>
    </row>
    <row r="478" spans="1:2" x14ac:dyDescent="0.3">
      <c r="A478" s="48"/>
      <c r="B478" s="44"/>
    </row>
    <row r="479" spans="1:2" x14ac:dyDescent="0.3">
      <c r="A479" s="48"/>
      <c r="B479" s="44"/>
    </row>
    <row r="480" spans="1:2" x14ac:dyDescent="0.3">
      <c r="A480" s="48"/>
      <c r="B480" s="44"/>
    </row>
    <row r="481" spans="1:2" x14ac:dyDescent="0.3">
      <c r="A481" s="48"/>
      <c r="B481" s="44"/>
    </row>
    <row r="482" spans="1:2" x14ac:dyDescent="0.3">
      <c r="A482" s="48"/>
      <c r="B482" s="44"/>
    </row>
    <row r="483" spans="1:2" x14ac:dyDescent="0.3">
      <c r="A483" s="48"/>
      <c r="B483" s="44"/>
    </row>
    <row r="484" spans="1:2" x14ac:dyDescent="0.3">
      <c r="A484" s="48"/>
      <c r="B484" s="44"/>
    </row>
    <row r="485" spans="1:2" x14ac:dyDescent="0.3">
      <c r="A485" s="48"/>
      <c r="B485" s="44"/>
    </row>
    <row r="486" spans="1:2" x14ac:dyDescent="0.3">
      <c r="A486" s="48"/>
      <c r="B486" s="44"/>
    </row>
    <row r="487" spans="1:2" x14ac:dyDescent="0.3">
      <c r="A487" s="48"/>
      <c r="B487" s="44"/>
    </row>
    <row r="488" spans="1:2" x14ac:dyDescent="0.3">
      <c r="A488" s="48"/>
      <c r="B488" s="44"/>
    </row>
    <row r="489" spans="1:2" x14ac:dyDescent="0.3">
      <c r="A489" s="48"/>
      <c r="B489" s="44"/>
    </row>
    <row r="490" spans="1:2" x14ac:dyDescent="0.3">
      <c r="A490" s="48"/>
      <c r="B490" s="44"/>
    </row>
    <row r="491" spans="1:2" x14ac:dyDescent="0.3">
      <c r="A491" s="48"/>
      <c r="B491" s="44"/>
    </row>
    <row r="492" spans="1:2" x14ac:dyDescent="0.3">
      <c r="A492" s="48"/>
      <c r="B492" s="44"/>
    </row>
    <row r="493" spans="1:2" x14ac:dyDescent="0.3">
      <c r="A493" s="48"/>
      <c r="B493" s="44"/>
    </row>
    <row r="494" spans="1:2" x14ac:dyDescent="0.3">
      <c r="A494" s="48"/>
      <c r="B494" s="44"/>
    </row>
    <row r="495" spans="1:2" x14ac:dyDescent="0.3">
      <c r="A495" s="48"/>
      <c r="B495" s="44"/>
    </row>
    <row r="496" spans="1:2" x14ac:dyDescent="0.3">
      <c r="A496" s="48"/>
      <c r="B496" s="44"/>
    </row>
    <row r="497" spans="1:2" x14ac:dyDescent="0.3">
      <c r="A497" s="48"/>
      <c r="B497" s="44"/>
    </row>
    <row r="498" spans="1:2" x14ac:dyDescent="0.3">
      <c r="A498" s="48"/>
      <c r="B498" s="44"/>
    </row>
    <row r="499" spans="1:2" x14ac:dyDescent="0.3">
      <c r="A499" s="48"/>
      <c r="B499" s="44"/>
    </row>
    <row r="500" spans="1:2" x14ac:dyDescent="0.3">
      <c r="A500" s="48"/>
      <c r="B500" s="44"/>
    </row>
    <row r="501" spans="1:2" x14ac:dyDescent="0.3">
      <c r="A501" s="48"/>
      <c r="B501" s="44"/>
    </row>
    <row r="502" spans="1:2" x14ac:dyDescent="0.3">
      <c r="A502" s="48"/>
      <c r="B502" s="44"/>
    </row>
    <row r="503" spans="1:2" x14ac:dyDescent="0.3">
      <c r="A503" s="48"/>
      <c r="B503" s="44"/>
    </row>
    <row r="504" spans="1:2" x14ac:dyDescent="0.3">
      <c r="A504" s="48"/>
      <c r="B504" s="44"/>
    </row>
    <row r="505" spans="1:2" x14ac:dyDescent="0.3">
      <c r="A505" s="48"/>
      <c r="B505" s="44"/>
    </row>
    <row r="506" spans="1:2" x14ac:dyDescent="0.3">
      <c r="A506" s="48"/>
      <c r="B506" s="44"/>
    </row>
    <row r="507" spans="1:2" x14ac:dyDescent="0.3">
      <c r="A507" s="48"/>
      <c r="B507" s="44"/>
    </row>
    <row r="508" spans="1:2" x14ac:dyDescent="0.3">
      <c r="A508" s="48"/>
      <c r="B508" s="44"/>
    </row>
    <row r="509" spans="1:2" x14ac:dyDescent="0.3">
      <c r="A509" s="48"/>
      <c r="B509" s="44"/>
    </row>
    <row r="510" spans="1:2" x14ac:dyDescent="0.3">
      <c r="A510" s="48"/>
      <c r="B510" s="44"/>
    </row>
    <row r="511" spans="1:2" x14ac:dyDescent="0.3">
      <c r="A511" s="48"/>
      <c r="B511" s="44"/>
    </row>
    <row r="512" spans="1:2" x14ac:dyDescent="0.3">
      <c r="A512" s="48"/>
      <c r="B512" s="44"/>
    </row>
    <row r="513" spans="1:2" x14ac:dyDescent="0.3">
      <c r="A513" s="48"/>
      <c r="B513" s="44"/>
    </row>
    <row r="514" spans="1:2" x14ac:dyDescent="0.3">
      <c r="A514" s="48"/>
      <c r="B514" s="44"/>
    </row>
    <row r="515" spans="1:2" x14ac:dyDescent="0.3">
      <c r="A515" s="48"/>
      <c r="B515" s="44"/>
    </row>
    <row r="516" spans="1:2" x14ac:dyDescent="0.3">
      <c r="A516" s="48"/>
      <c r="B516" s="44"/>
    </row>
    <row r="517" spans="1:2" x14ac:dyDescent="0.3">
      <c r="A517" s="48"/>
      <c r="B517" s="44"/>
    </row>
    <row r="518" spans="1:2" x14ac:dyDescent="0.3">
      <c r="A518" s="48"/>
      <c r="B518" s="44"/>
    </row>
    <row r="519" spans="1:2" x14ac:dyDescent="0.3">
      <c r="A519" s="48"/>
      <c r="B519" s="44"/>
    </row>
    <row r="520" spans="1:2" x14ac:dyDescent="0.3">
      <c r="A520" s="48"/>
      <c r="B520" s="44"/>
    </row>
    <row r="521" spans="1:2" x14ac:dyDescent="0.3">
      <c r="A521" s="48"/>
      <c r="B521" s="44"/>
    </row>
    <row r="522" spans="1:2" x14ac:dyDescent="0.3">
      <c r="A522" s="48"/>
      <c r="B522" s="44"/>
    </row>
    <row r="523" spans="1:2" x14ac:dyDescent="0.3">
      <c r="A523" s="48"/>
      <c r="B523" s="44"/>
    </row>
    <row r="524" spans="1:2" x14ac:dyDescent="0.3">
      <c r="A524" s="48"/>
      <c r="B524" s="44"/>
    </row>
    <row r="525" spans="1:2" x14ac:dyDescent="0.3">
      <c r="A525" s="48"/>
      <c r="B525" s="44"/>
    </row>
    <row r="526" spans="1:2" x14ac:dyDescent="0.3">
      <c r="A526" s="48"/>
      <c r="B526" s="44"/>
    </row>
    <row r="527" spans="1:2" x14ac:dyDescent="0.3">
      <c r="A527" s="48"/>
      <c r="B527" s="44"/>
    </row>
    <row r="528" spans="1:2" x14ac:dyDescent="0.3">
      <c r="A528" s="48"/>
      <c r="B528" s="44"/>
    </row>
    <row r="529" spans="1:2" x14ac:dyDescent="0.3">
      <c r="A529" s="48"/>
      <c r="B529" s="44"/>
    </row>
    <row r="530" spans="1:2" x14ac:dyDescent="0.3">
      <c r="A530" s="48"/>
      <c r="B530" s="44"/>
    </row>
    <row r="531" spans="1:2" x14ac:dyDescent="0.3">
      <c r="A531" s="48"/>
      <c r="B531" s="44"/>
    </row>
    <row r="532" spans="1:2" x14ac:dyDescent="0.3">
      <c r="A532" s="48"/>
      <c r="B532" s="44"/>
    </row>
    <row r="533" spans="1:2" x14ac:dyDescent="0.3">
      <c r="A533" s="48"/>
      <c r="B533" s="44"/>
    </row>
    <row r="534" spans="1:2" x14ac:dyDescent="0.3">
      <c r="A534" s="48"/>
      <c r="B534" s="44"/>
    </row>
    <row r="535" spans="1:2" x14ac:dyDescent="0.3">
      <c r="A535" s="48"/>
      <c r="B535" s="44"/>
    </row>
    <row r="536" spans="1:2" x14ac:dyDescent="0.3">
      <c r="A536" s="48"/>
      <c r="B536" s="44"/>
    </row>
    <row r="537" spans="1:2" x14ac:dyDescent="0.3">
      <c r="A537" s="48"/>
      <c r="B537" s="44"/>
    </row>
    <row r="538" spans="1:2" x14ac:dyDescent="0.3">
      <c r="A538" s="48"/>
      <c r="B538" s="44"/>
    </row>
    <row r="539" spans="1:2" x14ac:dyDescent="0.3">
      <c r="A539" s="48"/>
      <c r="B539" s="44"/>
    </row>
    <row r="540" spans="1:2" x14ac:dyDescent="0.3">
      <c r="A540" s="48"/>
      <c r="B540" s="44"/>
    </row>
    <row r="541" spans="1:2" x14ac:dyDescent="0.3">
      <c r="A541" s="48"/>
      <c r="B541" s="44"/>
    </row>
    <row r="542" spans="1:2" x14ac:dyDescent="0.3">
      <c r="A542" s="48"/>
      <c r="B542" s="44"/>
    </row>
    <row r="543" spans="1:2" x14ac:dyDescent="0.3">
      <c r="A543" s="48"/>
      <c r="B543" s="44"/>
    </row>
    <row r="544" spans="1:2" x14ac:dyDescent="0.3">
      <c r="A544" s="48"/>
      <c r="B544" s="44"/>
    </row>
    <row r="545" spans="1:2" x14ac:dyDescent="0.3">
      <c r="A545" s="48"/>
      <c r="B545" s="44"/>
    </row>
    <row r="546" spans="1:2" x14ac:dyDescent="0.3">
      <c r="A546" s="48"/>
      <c r="B546" s="44"/>
    </row>
    <row r="547" spans="1:2" x14ac:dyDescent="0.3">
      <c r="A547" s="48"/>
      <c r="B547" s="44"/>
    </row>
    <row r="548" spans="1:2" x14ac:dyDescent="0.3">
      <c r="A548" s="48"/>
      <c r="B548" s="44"/>
    </row>
    <row r="549" spans="1:2" x14ac:dyDescent="0.3">
      <c r="A549" s="48"/>
      <c r="B549" s="44"/>
    </row>
    <row r="550" spans="1:2" x14ac:dyDescent="0.3">
      <c r="A550" s="48"/>
      <c r="B550" s="44"/>
    </row>
    <row r="551" spans="1:2" x14ac:dyDescent="0.3">
      <c r="A551" s="48"/>
      <c r="B551" s="44"/>
    </row>
    <row r="552" spans="1:2" x14ac:dyDescent="0.3">
      <c r="A552" s="48"/>
      <c r="B552" s="44"/>
    </row>
    <row r="553" spans="1:2" x14ac:dyDescent="0.3">
      <c r="A553" s="48"/>
      <c r="B553" s="44"/>
    </row>
    <row r="554" spans="1:2" x14ac:dyDescent="0.3">
      <c r="A554" s="48"/>
      <c r="B554" s="44"/>
    </row>
    <row r="555" spans="1:2" x14ac:dyDescent="0.3">
      <c r="A555" s="48"/>
      <c r="B555" s="44"/>
    </row>
    <row r="556" spans="1:2" x14ac:dyDescent="0.3">
      <c r="A556" s="48"/>
      <c r="B556" s="44"/>
    </row>
    <row r="557" spans="1:2" x14ac:dyDescent="0.3">
      <c r="A557" s="48"/>
      <c r="B557" s="44"/>
    </row>
    <row r="558" spans="1:2" x14ac:dyDescent="0.3">
      <c r="A558" s="48"/>
      <c r="B558" s="44"/>
    </row>
    <row r="559" spans="1:2" x14ac:dyDescent="0.3">
      <c r="A559" s="48"/>
      <c r="B559" s="44"/>
    </row>
    <row r="560" spans="1:2" x14ac:dyDescent="0.3">
      <c r="A560" s="48"/>
      <c r="B560" s="44"/>
    </row>
    <row r="561" spans="1:2" x14ac:dyDescent="0.3">
      <c r="A561" s="48"/>
      <c r="B561" s="44"/>
    </row>
    <row r="562" spans="1:2" x14ac:dyDescent="0.3">
      <c r="A562" s="48"/>
      <c r="B562" s="44"/>
    </row>
    <row r="563" spans="1:2" x14ac:dyDescent="0.3">
      <c r="A563" s="48"/>
      <c r="B563" s="44"/>
    </row>
    <row r="564" spans="1:2" x14ac:dyDescent="0.3">
      <c r="A564" s="48"/>
      <c r="B564" s="44"/>
    </row>
    <row r="565" spans="1:2" x14ac:dyDescent="0.3">
      <c r="A565" s="48"/>
      <c r="B565" s="44"/>
    </row>
    <row r="566" spans="1:2" x14ac:dyDescent="0.3">
      <c r="A566" s="48"/>
      <c r="B566" s="44"/>
    </row>
    <row r="567" spans="1:2" x14ac:dyDescent="0.3">
      <c r="A567" s="48"/>
      <c r="B567" s="44"/>
    </row>
    <row r="568" spans="1:2" x14ac:dyDescent="0.3">
      <c r="A568" s="48"/>
      <c r="B568" s="44"/>
    </row>
    <row r="569" spans="1:2" x14ac:dyDescent="0.3">
      <c r="A569" s="48"/>
      <c r="B569" s="44"/>
    </row>
    <row r="570" spans="1:2" x14ac:dyDescent="0.3">
      <c r="A570" s="48"/>
      <c r="B570" s="44"/>
    </row>
    <row r="571" spans="1:2" x14ac:dyDescent="0.3">
      <c r="A571" s="48"/>
      <c r="B571" s="44"/>
    </row>
    <row r="572" spans="1:2" x14ac:dyDescent="0.3">
      <c r="A572" s="48"/>
      <c r="B572" s="44"/>
    </row>
    <row r="573" spans="1:2" x14ac:dyDescent="0.3">
      <c r="A573" s="48"/>
      <c r="B573" s="44"/>
    </row>
    <row r="574" spans="1:2" x14ac:dyDescent="0.3">
      <c r="A574" s="48"/>
      <c r="B574" s="44"/>
    </row>
    <row r="575" spans="1:2" x14ac:dyDescent="0.3">
      <c r="A575" s="48"/>
      <c r="B575" s="44"/>
    </row>
    <row r="576" spans="1:2" x14ac:dyDescent="0.3">
      <c r="A576" s="48"/>
      <c r="B576" s="44"/>
    </row>
    <row r="577" spans="1:2" x14ac:dyDescent="0.3">
      <c r="A577" s="48"/>
      <c r="B577" s="44"/>
    </row>
    <row r="578" spans="1:2" x14ac:dyDescent="0.3">
      <c r="A578" s="48"/>
      <c r="B578" s="44"/>
    </row>
    <row r="579" spans="1:2" x14ac:dyDescent="0.3">
      <c r="A579" s="48"/>
      <c r="B579" s="44"/>
    </row>
    <row r="580" spans="1:2" x14ac:dyDescent="0.3">
      <c r="A580" s="48"/>
      <c r="B580" s="44"/>
    </row>
    <row r="581" spans="1:2" x14ac:dyDescent="0.3">
      <c r="A581" s="48"/>
      <c r="B581" s="44"/>
    </row>
    <row r="582" spans="1:2" x14ac:dyDescent="0.3">
      <c r="A582" s="48"/>
      <c r="B582" s="44"/>
    </row>
    <row r="583" spans="1:2" x14ac:dyDescent="0.3">
      <c r="A583" s="48"/>
      <c r="B583" s="44"/>
    </row>
    <row r="584" spans="1:2" x14ac:dyDescent="0.3">
      <c r="A584" s="48"/>
      <c r="B584" s="44"/>
    </row>
    <row r="585" spans="1:2" x14ac:dyDescent="0.3">
      <c r="A585" s="48"/>
      <c r="B585" s="44"/>
    </row>
    <row r="586" spans="1:2" x14ac:dyDescent="0.3">
      <c r="A586" s="48"/>
      <c r="B586" s="44"/>
    </row>
    <row r="587" spans="1:2" x14ac:dyDescent="0.3">
      <c r="A587" s="48"/>
      <c r="B587" s="44"/>
    </row>
    <row r="588" spans="1:2" x14ac:dyDescent="0.3">
      <c r="A588" s="48"/>
      <c r="B588" s="44"/>
    </row>
    <row r="589" spans="1:2" x14ac:dyDescent="0.3">
      <c r="A589" s="48"/>
      <c r="B589" s="44"/>
    </row>
    <row r="590" spans="1:2" x14ac:dyDescent="0.3">
      <c r="A590" s="48"/>
      <c r="B590" s="44"/>
    </row>
    <row r="591" spans="1:2" x14ac:dyDescent="0.3">
      <c r="A591" s="48"/>
      <c r="B591" s="44"/>
    </row>
    <row r="592" spans="1:2" x14ac:dyDescent="0.3">
      <c r="A592" s="48"/>
      <c r="B592" s="44"/>
    </row>
    <row r="593" spans="1:2" x14ac:dyDescent="0.3">
      <c r="A593" s="48"/>
      <c r="B593" s="44"/>
    </row>
    <row r="594" spans="1:2" x14ac:dyDescent="0.3">
      <c r="A594" s="48"/>
      <c r="B594" s="44"/>
    </row>
    <row r="595" spans="1:2" x14ac:dyDescent="0.3">
      <c r="A595" s="48"/>
      <c r="B595" s="44"/>
    </row>
    <row r="596" spans="1:2" x14ac:dyDescent="0.3">
      <c r="A596" s="48"/>
      <c r="B596" s="44"/>
    </row>
    <row r="597" spans="1:2" x14ac:dyDescent="0.3">
      <c r="A597" s="48"/>
      <c r="B597" s="44"/>
    </row>
    <row r="598" spans="1:2" x14ac:dyDescent="0.3">
      <c r="A598" s="48"/>
      <c r="B598" s="44"/>
    </row>
    <row r="599" spans="1:2" x14ac:dyDescent="0.3">
      <c r="A599" s="48"/>
      <c r="B599" s="44"/>
    </row>
    <row r="600" spans="1:2" x14ac:dyDescent="0.3">
      <c r="A600" s="48"/>
      <c r="B600" s="44"/>
    </row>
    <row r="601" spans="1:2" x14ac:dyDescent="0.3">
      <c r="A601" s="48"/>
      <c r="B601" s="44"/>
    </row>
    <row r="602" spans="1:2" x14ac:dyDescent="0.3">
      <c r="A602" s="48"/>
      <c r="B602" s="44"/>
    </row>
    <row r="603" spans="1:2" x14ac:dyDescent="0.3">
      <c r="A603" s="48"/>
      <c r="B603" s="44"/>
    </row>
    <row r="604" spans="1:2" x14ac:dyDescent="0.3">
      <c r="A604" s="48"/>
      <c r="B604" s="44"/>
    </row>
    <row r="605" spans="1:2" x14ac:dyDescent="0.3">
      <c r="A605" s="48"/>
      <c r="B605" s="44"/>
    </row>
    <row r="606" spans="1:2" x14ac:dyDescent="0.3">
      <c r="A606" s="48"/>
      <c r="B606" s="44"/>
    </row>
    <row r="607" spans="1:2" x14ac:dyDescent="0.3">
      <c r="A607" s="48"/>
      <c r="B607" s="44"/>
    </row>
    <row r="608" spans="1:2" x14ac:dyDescent="0.3">
      <c r="A608" s="48"/>
      <c r="B608" s="44"/>
    </row>
    <row r="609" spans="1:2" x14ac:dyDescent="0.3">
      <c r="A609" s="48"/>
      <c r="B609" s="44"/>
    </row>
    <row r="610" spans="1:2" x14ac:dyDescent="0.3">
      <c r="A610" s="48"/>
      <c r="B610" s="44"/>
    </row>
    <row r="611" spans="1:2" x14ac:dyDescent="0.3">
      <c r="A611" s="48"/>
      <c r="B611" s="44"/>
    </row>
    <row r="612" spans="1:2" x14ac:dyDescent="0.3">
      <c r="A612" s="48"/>
      <c r="B612" s="44"/>
    </row>
    <row r="613" spans="1:2" x14ac:dyDescent="0.3">
      <c r="A613" s="48"/>
      <c r="B613" s="44"/>
    </row>
    <row r="614" spans="1:2" x14ac:dyDescent="0.3">
      <c r="A614" s="48"/>
      <c r="B614" s="44"/>
    </row>
    <row r="615" spans="1:2" x14ac:dyDescent="0.3">
      <c r="A615" s="48"/>
      <c r="B615" s="44"/>
    </row>
    <row r="616" spans="1:2" x14ac:dyDescent="0.3">
      <c r="A616" s="48"/>
      <c r="B616" s="44"/>
    </row>
    <row r="617" spans="1:2" x14ac:dyDescent="0.3">
      <c r="A617" s="48"/>
      <c r="B617" s="44"/>
    </row>
    <row r="618" spans="1:2" x14ac:dyDescent="0.3">
      <c r="A618" s="48"/>
      <c r="B618" s="44"/>
    </row>
    <row r="619" spans="1:2" x14ac:dyDescent="0.3">
      <c r="A619" s="48"/>
      <c r="B619" s="44"/>
    </row>
    <row r="620" spans="1:2" x14ac:dyDescent="0.3">
      <c r="A620" s="48"/>
      <c r="B620" s="44"/>
    </row>
    <row r="621" spans="1:2" x14ac:dyDescent="0.3">
      <c r="A621" s="48"/>
      <c r="B621" s="44"/>
    </row>
    <row r="622" spans="1:2" x14ac:dyDescent="0.3">
      <c r="A622" s="48"/>
      <c r="B622" s="44"/>
    </row>
    <row r="623" spans="1:2" x14ac:dyDescent="0.3">
      <c r="A623" s="48"/>
      <c r="B623" s="44"/>
    </row>
    <row r="624" spans="1:2" x14ac:dyDescent="0.3">
      <c r="A624" s="48"/>
      <c r="B624" s="44"/>
    </row>
    <row r="625" spans="1:2" x14ac:dyDescent="0.3">
      <c r="A625" s="48"/>
      <c r="B625" s="44"/>
    </row>
    <row r="626" spans="1:2" x14ac:dyDescent="0.3">
      <c r="A626" s="48"/>
      <c r="B626" s="44"/>
    </row>
    <row r="627" spans="1:2" x14ac:dyDescent="0.3">
      <c r="A627" s="48"/>
      <c r="B627" s="44"/>
    </row>
    <row r="628" spans="1:2" x14ac:dyDescent="0.3">
      <c r="A628" s="48"/>
      <c r="B628" s="44"/>
    </row>
    <row r="629" spans="1:2" x14ac:dyDescent="0.3">
      <c r="A629" s="48"/>
      <c r="B629" s="44"/>
    </row>
    <row r="630" spans="1:2" x14ac:dyDescent="0.3">
      <c r="A630" s="48"/>
      <c r="B630" s="44"/>
    </row>
    <row r="631" spans="1:2" x14ac:dyDescent="0.3">
      <c r="A631" s="48"/>
      <c r="B631" s="44"/>
    </row>
    <row r="632" spans="1:2" x14ac:dyDescent="0.3">
      <c r="A632" s="48"/>
      <c r="B632" s="44"/>
    </row>
    <row r="633" spans="1:2" x14ac:dyDescent="0.3">
      <c r="A633" s="48"/>
      <c r="B633" s="44"/>
    </row>
    <row r="634" spans="1:2" x14ac:dyDescent="0.3">
      <c r="A634" s="48"/>
      <c r="B634" s="44"/>
    </row>
    <row r="635" spans="1:2" x14ac:dyDescent="0.3">
      <c r="A635" s="48"/>
      <c r="B635" s="44"/>
    </row>
    <row r="636" spans="1:2" x14ac:dyDescent="0.3">
      <c r="A636" s="48"/>
      <c r="B636" s="44"/>
    </row>
    <row r="637" spans="1:2" x14ac:dyDescent="0.3">
      <c r="A637" s="48"/>
      <c r="B637" s="44"/>
    </row>
    <row r="638" spans="1:2" x14ac:dyDescent="0.3">
      <c r="A638" s="48"/>
      <c r="B638" s="44"/>
    </row>
    <row r="639" spans="1:2" x14ac:dyDescent="0.3">
      <c r="A639" s="48"/>
      <c r="B639" s="44"/>
    </row>
    <row r="640" spans="1:2" x14ac:dyDescent="0.3">
      <c r="A640" s="48"/>
      <c r="B640" s="44"/>
    </row>
    <row r="641" spans="1:2" x14ac:dyDescent="0.3">
      <c r="A641" s="48"/>
      <c r="B641" s="44"/>
    </row>
    <row r="642" spans="1:2" x14ac:dyDescent="0.3">
      <c r="A642" s="48"/>
      <c r="B642" s="44"/>
    </row>
    <row r="643" spans="1:2" x14ac:dyDescent="0.3">
      <c r="A643" s="48"/>
      <c r="B643" s="44"/>
    </row>
    <row r="644" spans="1:2" x14ac:dyDescent="0.3">
      <c r="A644" s="48"/>
      <c r="B644" s="44"/>
    </row>
    <row r="645" spans="1:2" x14ac:dyDescent="0.3">
      <c r="A645" s="48"/>
      <c r="B645" s="44"/>
    </row>
    <row r="646" spans="1:2" x14ac:dyDescent="0.3">
      <c r="A646" s="48"/>
      <c r="B646" s="44"/>
    </row>
    <row r="647" spans="1:2" x14ac:dyDescent="0.3">
      <c r="A647" s="48"/>
      <c r="B647" s="44"/>
    </row>
    <row r="648" spans="1:2" x14ac:dyDescent="0.3">
      <c r="A648" s="48"/>
      <c r="B648" s="44"/>
    </row>
    <row r="649" spans="1:2" x14ac:dyDescent="0.3">
      <c r="A649" s="48"/>
      <c r="B649" s="44"/>
    </row>
    <row r="650" spans="1:2" x14ac:dyDescent="0.3">
      <c r="A650" s="48"/>
      <c r="B650" s="44"/>
    </row>
    <row r="651" spans="1:2" x14ac:dyDescent="0.3">
      <c r="A651" s="48"/>
      <c r="B651" s="44"/>
    </row>
    <row r="652" spans="1:2" x14ac:dyDescent="0.3">
      <c r="A652" s="48"/>
      <c r="B652" s="44"/>
    </row>
    <row r="653" spans="1:2" x14ac:dyDescent="0.3">
      <c r="A653" s="48"/>
      <c r="B653" s="44"/>
    </row>
    <row r="654" spans="1:2" x14ac:dyDescent="0.3">
      <c r="A654" s="48"/>
      <c r="B654" s="44"/>
    </row>
    <row r="655" spans="1:2" x14ac:dyDescent="0.3">
      <c r="A655" s="48"/>
      <c r="B655" s="44"/>
    </row>
    <row r="656" spans="1:2" x14ac:dyDescent="0.3">
      <c r="A656" s="48"/>
      <c r="B656" s="44"/>
    </row>
    <row r="657" spans="1:2" x14ac:dyDescent="0.3">
      <c r="A657" s="48"/>
      <c r="B657" s="44"/>
    </row>
    <row r="658" spans="1:2" x14ac:dyDescent="0.3">
      <c r="A658" s="48"/>
      <c r="B658" s="44"/>
    </row>
    <row r="659" spans="1:2" x14ac:dyDescent="0.3">
      <c r="A659" s="48"/>
      <c r="B659" s="44"/>
    </row>
    <row r="660" spans="1:2" x14ac:dyDescent="0.3">
      <c r="A660" s="48"/>
      <c r="B660" s="44"/>
    </row>
    <row r="661" spans="1:2" x14ac:dyDescent="0.3">
      <c r="A661" s="48"/>
      <c r="B661" s="44"/>
    </row>
    <row r="662" spans="1:2" x14ac:dyDescent="0.3">
      <c r="A662" s="48"/>
      <c r="B662" s="44"/>
    </row>
    <row r="663" spans="1:2" x14ac:dyDescent="0.3">
      <c r="A663" s="48"/>
      <c r="B663" s="44"/>
    </row>
    <row r="664" spans="1:2" x14ac:dyDescent="0.3">
      <c r="A664" s="48"/>
      <c r="B664" s="44"/>
    </row>
    <row r="665" spans="1:2" x14ac:dyDescent="0.3">
      <c r="A665" s="48"/>
      <c r="B665" s="44"/>
    </row>
    <row r="666" spans="1:2" x14ac:dyDescent="0.3">
      <c r="A666" s="48"/>
      <c r="B666" s="44"/>
    </row>
    <row r="667" spans="1:2" x14ac:dyDescent="0.3">
      <c r="A667" s="48"/>
      <c r="B667" s="44"/>
    </row>
    <row r="668" spans="1:2" x14ac:dyDescent="0.3">
      <c r="A668" s="48"/>
      <c r="B668" s="44"/>
    </row>
    <row r="669" spans="1:2" x14ac:dyDescent="0.3">
      <c r="A669" s="48"/>
      <c r="B669" s="44"/>
    </row>
    <row r="670" spans="1:2" x14ac:dyDescent="0.3">
      <c r="A670" s="48"/>
      <c r="B670" s="44"/>
    </row>
    <row r="671" spans="1:2" x14ac:dyDescent="0.3">
      <c r="A671" s="48"/>
      <c r="B671" s="44"/>
    </row>
    <row r="672" spans="1:2" x14ac:dyDescent="0.3">
      <c r="A672" s="48"/>
      <c r="B672" s="44"/>
    </row>
    <row r="673" spans="1:2" x14ac:dyDescent="0.3">
      <c r="A673" s="48"/>
      <c r="B673" s="44"/>
    </row>
    <row r="674" spans="1:2" x14ac:dyDescent="0.3">
      <c r="A674" s="48"/>
      <c r="B674" s="44"/>
    </row>
    <row r="675" spans="1:2" x14ac:dyDescent="0.3">
      <c r="A675" s="48"/>
      <c r="B675" s="44"/>
    </row>
    <row r="676" spans="1:2" x14ac:dyDescent="0.3">
      <c r="A676" s="48"/>
      <c r="B676" s="44"/>
    </row>
    <row r="677" spans="1:2" x14ac:dyDescent="0.3">
      <c r="A677" s="48"/>
      <c r="B677" s="44"/>
    </row>
    <row r="678" spans="1:2" x14ac:dyDescent="0.3">
      <c r="A678" s="48"/>
      <c r="B678" s="44"/>
    </row>
    <row r="679" spans="1:2" x14ac:dyDescent="0.3">
      <c r="A679" s="48"/>
      <c r="B679" s="44"/>
    </row>
    <row r="680" spans="1:2" x14ac:dyDescent="0.3">
      <c r="A680" s="48"/>
      <c r="B680" s="44"/>
    </row>
    <row r="681" spans="1:2" x14ac:dyDescent="0.3">
      <c r="A681" s="48"/>
      <c r="B681" s="44"/>
    </row>
    <row r="682" spans="1:2" x14ac:dyDescent="0.3">
      <c r="A682" s="48"/>
      <c r="B682" s="44"/>
    </row>
    <row r="683" spans="1:2" x14ac:dyDescent="0.3">
      <c r="A683" s="48"/>
      <c r="B683" s="44"/>
    </row>
    <row r="684" spans="1:2" x14ac:dyDescent="0.3">
      <c r="A684" s="48"/>
      <c r="B684" s="44"/>
    </row>
    <row r="685" spans="1:2" x14ac:dyDescent="0.3">
      <c r="A685" s="48"/>
      <c r="B685" s="44"/>
    </row>
    <row r="686" spans="1:2" x14ac:dyDescent="0.3">
      <c r="A686" s="48"/>
      <c r="B686" s="44"/>
    </row>
    <row r="687" spans="1:2" x14ac:dyDescent="0.3">
      <c r="A687" s="48"/>
      <c r="B687" s="44"/>
    </row>
    <row r="688" spans="1:2" x14ac:dyDescent="0.3">
      <c r="A688" s="48"/>
      <c r="B688" s="44"/>
    </row>
    <row r="689" spans="1:2" x14ac:dyDescent="0.3">
      <c r="A689" s="48"/>
      <c r="B689" s="44"/>
    </row>
    <row r="690" spans="1:2" x14ac:dyDescent="0.3">
      <c r="A690" s="48"/>
      <c r="B690" s="44"/>
    </row>
    <row r="691" spans="1:2" x14ac:dyDescent="0.3">
      <c r="A691" s="48"/>
      <c r="B691" s="44"/>
    </row>
    <row r="692" spans="1:2" x14ac:dyDescent="0.3">
      <c r="A692" s="48"/>
      <c r="B692" s="44"/>
    </row>
    <row r="693" spans="1:2" x14ac:dyDescent="0.3">
      <c r="A693" s="48"/>
      <c r="B693" s="44"/>
    </row>
    <row r="694" spans="1:2" x14ac:dyDescent="0.3">
      <c r="A694" s="48"/>
      <c r="B694" s="44"/>
    </row>
    <row r="695" spans="1:2" x14ac:dyDescent="0.3">
      <c r="A695" s="48"/>
      <c r="B695" s="44"/>
    </row>
    <row r="696" spans="1:2" x14ac:dyDescent="0.3">
      <c r="A696" s="48"/>
      <c r="B696" s="44"/>
    </row>
    <row r="697" spans="1:2" x14ac:dyDescent="0.3">
      <c r="A697" s="48"/>
      <c r="B697" s="44"/>
    </row>
    <row r="698" spans="1:2" x14ac:dyDescent="0.3">
      <c r="A698" s="48"/>
      <c r="B698" s="44"/>
    </row>
    <row r="699" spans="1:2" x14ac:dyDescent="0.3">
      <c r="A699" s="48"/>
      <c r="B699" s="44"/>
    </row>
    <row r="700" spans="1:2" x14ac:dyDescent="0.3">
      <c r="A700" s="48"/>
      <c r="B700" s="44"/>
    </row>
    <row r="701" spans="1:2" x14ac:dyDescent="0.3">
      <c r="A701" s="48"/>
      <c r="B701" s="44"/>
    </row>
    <row r="702" spans="1:2" x14ac:dyDescent="0.3">
      <c r="A702" s="48"/>
      <c r="B702" s="44"/>
    </row>
    <row r="703" spans="1:2" x14ac:dyDescent="0.3">
      <c r="A703" s="48"/>
      <c r="B703" s="44"/>
    </row>
    <row r="704" spans="1:2" x14ac:dyDescent="0.3">
      <c r="A704" s="48"/>
      <c r="B704" s="44"/>
    </row>
    <row r="705" spans="1:2" x14ac:dyDescent="0.3">
      <c r="A705" s="48"/>
      <c r="B705" s="44"/>
    </row>
    <row r="706" spans="1:2" x14ac:dyDescent="0.3">
      <c r="A706" s="48"/>
      <c r="B706" s="44"/>
    </row>
    <row r="707" spans="1:2" x14ac:dyDescent="0.3">
      <c r="A707" s="48"/>
      <c r="B707" s="44"/>
    </row>
    <row r="708" spans="1:2" x14ac:dyDescent="0.3">
      <c r="A708" s="48"/>
      <c r="B708" s="44"/>
    </row>
    <row r="709" spans="1:2" x14ac:dyDescent="0.3">
      <c r="A709" s="48"/>
      <c r="B709" s="44"/>
    </row>
    <row r="710" spans="1:2" x14ac:dyDescent="0.3">
      <c r="A710" s="48"/>
      <c r="B710" s="44"/>
    </row>
    <row r="711" spans="1:2" x14ac:dyDescent="0.3">
      <c r="A711" s="48"/>
      <c r="B711" s="44"/>
    </row>
    <row r="712" spans="1:2" x14ac:dyDescent="0.3">
      <c r="A712" s="48"/>
      <c r="B712" s="44"/>
    </row>
    <row r="713" spans="1:2" x14ac:dyDescent="0.3">
      <c r="A713" s="48"/>
      <c r="B713" s="44"/>
    </row>
    <row r="714" spans="1:2" x14ac:dyDescent="0.3">
      <c r="A714" s="48"/>
      <c r="B714" s="44"/>
    </row>
    <row r="715" spans="1:2" x14ac:dyDescent="0.3">
      <c r="A715" s="48"/>
      <c r="B715" s="44"/>
    </row>
    <row r="716" spans="1:2" x14ac:dyDescent="0.3">
      <c r="A716" s="48"/>
      <c r="B716" s="44"/>
    </row>
    <row r="717" spans="1:2" x14ac:dyDescent="0.3">
      <c r="A717" s="48"/>
      <c r="B717" s="44"/>
    </row>
    <row r="718" spans="1:2" x14ac:dyDescent="0.3">
      <c r="A718" s="48"/>
      <c r="B718" s="44"/>
    </row>
    <row r="719" spans="1:2" x14ac:dyDescent="0.3">
      <c r="A719" s="48"/>
      <c r="B719" s="44"/>
    </row>
    <row r="720" spans="1:2" x14ac:dyDescent="0.3">
      <c r="A720" s="48"/>
      <c r="B720" s="44"/>
    </row>
    <row r="721" spans="1:2" x14ac:dyDescent="0.3">
      <c r="A721" s="48"/>
      <c r="B721" s="44"/>
    </row>
    <row r="722" spans="1:2" x14ac:dyDescent="0.3">
      <c r="A722" s="48"/>
      <c r="B722" s="44"/>
    </row>
    <row r="723" spans="1:2" x14ac:dyDescent="0.3">
      <c r="A723" s="48"/>
      <c r="B723" s="44"/>
    </row>
    <row r="724" spans="1:2" x14ac:dyDescent="0.3">
      <c r="A724" s="48"/>
      <c r="B724" s="44"/>
    </row>
    <row r="725" spans="1:2" x14ac:dyDescent="0.3">
      <c r="A725" s="48"/>
      <c r="B725" s="44"/>
    </row>
    <row r="726" spans="1:2" x14ac:dyDescent="0.3">
      <c r="A726" s="48"/>
      <c r="B726" s="44"/>
    </row>
    <row r="727" spans="1:2" x14ac:dyDescent="0.3">
      <c r="A727" s="48"/>
      <c r="B727" s="44"/>
    </row>
    <row r="728" spans="1:2" x14ac:dyDescent="0.3">
      <c r="A728" s="48"/>
      <c r="B728" s="44"/>
    </row>
    <row r="729" spans="1:2" x14ac:dyDescent="0.3">
      <c r="A729" s="48"/>
      <c r="B729" s="44"/>
    </row>
    <row r="730" spans="1:2" x14ac:dyDescent="0.3">
      <c r="A730" s="48"/>
      <c r="B730" s="44"/>
    </row>
    <row r="731" spans="1:2" x14ac:dyDescent="0.3">
      <c r="A731" s="48"/>
      <c r="B731" s="44"/>
    </row>
    <row r="732" spans="1:2" x14ac:dyDescent="0.3">
      <c r="A732" s="48"/>
      <c r="B732" s="44"/>
    </row>
    <row r="733" spans="1:2" x14ac:dyDescent="0.3">
      <c r="A733" s="48"/>
      <c r="B733" s="44"/>
    </row>
    <row r="734" spans="1:2" x14ac:dyDescent="0.3">
      <c r="A734" s="48"/>
      <c r="B734" s="44"/>
    </row>
    <row r="735" spans="1:2" x14ac:dyDescent="0.3">
      <c r="A735" s="48"/>
      <c r="B735" s="44"/>
    </row>
    <row r="736" spans="1:2" x14ac:dyDescent="0.3">
      <c r="A736" s="48"/>
      <c r="B736" s="44"/>
    </row>
    <row r="737" spans="1:2" x14ac:dyDescent="0.3">
      <c r="A737" s="48"/>
      <c r="B737" s="44"/>
    </row>
    <row r="738" spans="1:2" x14ac:dyDescent="0.3">
      <c r="A738" s="48"/>
      <c r="B738" s="44"/>
    </row>
    <row r="739" spans="1:2" x14ac:dyDescent="0.3">
      <c r="A739" s="48"/>
      <c r="B739" s="44"/>
    </row>
    <row r="740" spans="1:2" x14ac:dyDescent="0.3">
      <c r="A740" s="48"/>
      <c r="B740" s="44"/>
    </row>
    <row r="741" spans="1:2" x14ac:dyDescent="0.3">
      <c r="A741" s="48"/>
      <c r="B741" s="44"/>
    </row>
    <row r="742" spans="1:2" x14ac:dyDescent="0.3">
      <c r="A742" s="48"/>
      <c r="B742" s="44"/>
    </row>
    <row r="743" spans="1:2" x14ac:dyDescent="0.3">
      <c r="A743" s="48"/>
      <c r="B743" s="44"/>
    </row>
    <row r="744" spans="1:2" x14ac:dyDescent="0.3">
      <c r="A744" s="48"/>
      <c r="B744" s="44"/>
    </row>
    <row r="745" spans="1:2" x14ac:dyDescent="0.3">
      <c r="A745" s="48"/>
      <c r="B745" s="44"/>
    </row>
    <row r="746" spans="1:2" x14ac:dyDescent="0.3">
      <c r="A746" s="48"/>
      <c r="B746" s="44"/>
    </row>
    <row r="747" spans="1:2" x14ac:dyDescent="0.3">
      <c r="A747" s="48"/>
      <c r="B747" s="44"/>
    </row>
    <row r="748" spans="1:2" x14ac:dyDescent="0.3">
      <c r="A748" s="48"/>
      <c r="B748" s="44"/>
    </row>
    <row r="749" spans="1:2" x14ac:dyDescent="0.3">
      <c r="A749" s="48"/>
      <c r="B749" s="44"/>
    </row>
    <row r="750" spans="1:2" x14ac:dyDescent="0.3">
      <c r="A750" s="48"/>
      <c r="B750" s="44"/>
    </row>
    <row r="751" spans="1:2" x14ac:dyDescent="0.3">
      <c r="A751" s="48"/>
      <c r="B751" s="44"/>
    </row>
    <row r="752" spans="1:2" x14ac:dyDescent="0.3">
      <c r="A752" s="48"/>
      <c r="B752" s="44"/>
    </row>
    <row r="753" spans="1:2" x14ac:dyDescent="0.3">
      <c r="A753" s="48"/>
      <c r="B753" s="44"/>
    </row>
    <row r="754" spans="1:2" x14ac:dyDescent="0.3">
      <c r="A754" s="48"/>
      <c r="B754" s="44"/>
    </row>
    <row r="755" spans="1:2" x14ac:dyDescent="0.3">
      <c r="A755" s="48"/>
      <c r="B755" s="44"/>
    </row>
    <row r="756" spans="1:2" x14ac:dyDescent="0.3">
      <c r="A756" s="48"/>
      <c r="B756" s="44"/>
    </row>
    <row r="757" spans="1:2" x14ac:dyDescent="0.3">
      <c r="A757" s="48"/>
      <c r="B757" s="44"/>
    </row>
    <row r="758" spans="1:2" x14ac:dyDescent="0.3">
      <c r="A758" s="48"/>
      <c r="B758" s="44"/>
    </row>
    <row r="759" spans="1:2" x14ac:dyDescent="0.3">
      <c r="A759" s="48"/>
      <c r="B759" s="44"/>
    </row>
    <row r="760" spans="1:2" x14ac:dyDescent="0.3">
      <c r="A760" s="48"/>
      <c r="B760" s="44"/>
    </row>
    <row r="761" spans="1:2" x14ac:dyDescent="0.3">
      <c r="A761" s="48"/>
      <c r="B761" s="44"/>
    </row>
    <row r="762" spans="1:2" x14ac:dyDescent="0.3">
      <c r="A762" s="48"/>
      <c r="B762" s="44"/>
    </row>
    <row r="763" spans="1:2" x14ac:dyDescent="0.3">
      <c r="A763" s="48"/>
      <c r="B763" s="44"/>
    </row>
    <row r="764" spans="1:2" x14ac:dyDescent="0.3">
      <c r="A764" s="48"/>
      <c r="B764" s="44"/>
    </row>
    <row r="765" spans="1:2" x14ac:dyDescent="0.3">
      <c r="A765" s="48"/>
      <c r="B765" s="44"/>
    </row>
    <row r="766" spans="1:2" x14ac:dyDescent="0.3">
      <c r="A766" s="48"/>
      <c r="B766" s="44"/>
    </row>
    <row r="767" spans="1:2" x14ac:dyDescent="0.3">
      <c r="A767" s="48"/>
      <c r="B767" s="44"/>
    </row>
    <row r="768" spans="1:2" x14ac:dyDescent="0.3">
      <c r="A768" s="48"/>
      <c r="B768" s="44"/>
    </row>
    <row r="769" spans="1:2" x14ac:dyDescent="0.3">
      <c r="A769" s="48"/>
      <c r="B769" s="44"/>
    </row>
    <row r="770" spans="1:2" x14ac:dyDescent="0.3">
      <c r="A770" s="48"/>
      <c r="B770" s="44"/>
    </row>
    <row r="771" spans="1:2" x14ac:dyDescent="0.3">
      <c r="A771" s="48"/>
      <c r="B771" s="44"/>
    </row>
    <row r="772" spans="1:2" x14ac:dyDescent="0.3">
      <c r="A772" s="48"/>
      <c r="B772" s="44"/>
    </row>
    <row r="773" spans="1:2" x14ac:dyDescent="0.3">
      <c r="A773" s="48"/>
      <c r="B773" s="44"/>
    </row>
    <row r="774" spans="1:2" x14ac:dyDescent="0.3">
      <c r="A774" s="48"/>
      <c r="B774" s="44"/>
    </row>
    <row r="775" spans="1:2" x14ac:dyDescent="0.3">
      <c r="A775" s="48"/>
      <c r="B775" s="44"/>
    </row>
    <row r="776" spans="1:2" x14ac:dyDescent="0.3">
      <c r="A776" s="48"/>
      <c r="B776" s="44"/>
    </row>
    <row r="777" spans="1:2" x14ac:dyDescent="0.3">
      <c r="A777" s="48"/>
      <c r="B777" s="44"/>
    </row>
    <row r="778" spans="1:2" x14ac:dyDescent="0.3">
      <c r="A778" s="48"/>
      <c r="B778" s="44"/>
    </row>
    <row r="779" spans="1:2" x14ac:dyDescent="0.3">
      <c r="A779" s="48"/>
      <c r="B779" s="44"/>
    </row>
    <row r="780" spans="1:2" x14ac:dyDescent="0.3">
      <c r="A780" s="48"/>
      <c r="B780" s="44"/>
    </row>
    <row r="781" spans="1:2" x14ac:dyDescent="0.3">
      <c r="A781" s="48"/>
      <c r="B781" s="44"/>
    </row>
    <row r="782" spans="1:2" x14ac:dyDescent="0.3">
      <c r="A782" s="48"/>
      <c r="B782" s="44"/>
    </row>
    <row r="783" spans="1:2" x14ac:dyDescent="0.3">
      <c r="A783" s="48"/>
      <c r="B783" s="44"/>
    </row>
    <row r="784" spans="1:2" x14ac:dyDescent="0.3">
      <c r="A784" s="48"/>
      <c r="B784" s="44"/>
    </row>
    <row r="785" spans="1:2" x14ac:dyDescent="0.3">
      <c r="A785" s="48"/>
      <c r="B785" s="44"/>
    </row>
    <row r="786" spans="1:2" x14ac:dyDescent="0.3">
      <c r="A786" s="48"/>
      <c r="B786" s="44"/>
    </row>
    <row r="787" spans="1:2" x14ac:dyDescent="0.3">
      <c r="A787" s="48"/>
      <c r="B787" s="44"/>
    </row>
    <row r="788" spans="1:2" x14ac:dyDescent="0.3">
      <c r="A788" s="48"/>
      <c r="B788" s="44"/>
    </row>
    <row r="789" spans="1:2" x14ac:dyDescent="0.3">
      <c r="A789" s="48"/>
      <c r="B789" s="44"/>
    </row>
    <row r="790" spans="1:2" x14ac:dyDescent="0.3">
      <c r="A790" s="48"/>
      <c r="B790" s="44"/>
    </row>
    <row r="791" spans="1:2" x14ac:dyDescent="0.3">
      <c r="A791" s="48"/>
      <c r="B791" s="44"/>
    </row>
    <row r="792" spans="1:2" x14ac:dyDescent="0.3">
      <c r="A792" s="48"/>
      <c r="B792" s="44"/>
    </row>
    <row r="793" spans="1:2" x14ac:dyDescent="0.3">
      <c r="A793" s="48"/>
      <c r="B793" s="44"/>
    </row>
    <row r="794" spans="1:2" x14ac:dyDescent="0.3">
      <c r="A794" s="48"/>
      <c r="B794" s="44"/>
    </row>
    <row r="795" spans="1:2" x14ac:dyDescent="0.3">
      <c r="A795" s="48"/>
      <c r="B795" s="44"/>
    </row>
    <row r="796" spans="1:2" x14ac:dyDescent="0.3">
      <c r="A796" s="48"/>
      <c r="B796" s="44"/>
    </row>
    <row r="797" spans="1:2" x14ac:dyDescent="0.3">
      <c r="A797" s="48"/>
      <c r="B797" s="44"/>
    </row>
    <row r="798" spans="1:2" x14ac:dyDescent="0.3">
      <c r="A798" s="48"/>
      <c r="B798" s="44"/>
    </row>
    <row r="799" spans="1:2" x14ac:dyDescent="0.3">
      <c r="A799" s="48"/>
      <c r="B799" s="44"/>
    </row>
    <row r="800" spans="1:2" x14ac:dyDescent="0.3">
      <c r="A800" s="48"/>
      <c r="B800" s="44"/>
    </row>
    <row r="801" spans="1:2" x14ac:dyDescent="0.3">
      <c r="A801" s="48"/>
      <c r="B801" s="44"/>
    </row>
    <row r="802" spans="1:2" x14ac:dyDescent="0.3">
      <c r="A802" s="48"/>
      <c r="B802" s="44"/>
    </row>
    <row r="803" spans="1:2" x14ac:dyDescent="0.3">
      <c r="A803" s="48"/>
      <c r="B803" s="44"/>
    </row>
    <row r="804" spans="1:2" x14ac:dyDescent="0.3">
      <c r="A804" s="48"/>
      <c r="B804" s="44"/>
    </row>
    <row r="805" spans="1:2" x14ac:dyDescent="0.3">
      <c r="A805" s="48"/>
      <c r="B805" s="44"/>
    </row>
    <row r="806" spans="1:2" x14ac:dyDescent="0.3">
      <c r="A806" s="48"/>
      <c r="B806" s="44"/>
    </row>
    <row r="807" spans="1:2" x14ac:dyDescent="0.3">
      <c r="A807" s="48"/>
      <c r="B807" s="44"/>
    </row>
    <row r="808" spans="1:2" x14ac:dyDescent="0.3">
      <c r="A808" s="48"/>
      <c r="B808" s="44"/>
    </row>
    <row r="809" spans="1:2" x14ac:dyDescent="0.3">
      <c r="A809" s="48"/>
      <c r="B809" s="44"/>
    </row>
    <row r="810" spans="1:2" x14ac:dyDescent="0.3">
      <c r="A810" s="48"/>
      <c r="B810" s="44"/>
    </row>
    <row r="811" spans="1:2" x14ac:dyDescent="0.3">
      <c r="A811" s="48"/>
      <c r="B811" s="44"/>
    </row>
    <row r="812" spans="1:2" x14ac:dyDescent="0.3">
      <c r="A812" s="48"/>
      <c r="B812" s="44"/>
    </row>
    <row r="813" spans="1:2" x14ac:dyDescent="0.3">
      <c r="A813" s="48"/>
      <c r="B813" s="44"/>
    </row>
    <row r="814" spans="1:2" x14ac:dyDescent="0.3">
      <c r="A814" s="48"/>
      <c r="B814" s="44"/>
    </row>
    <row r="815" spans="1:2" x14ac:dyDescent="0.3">
      <c r="A815" s="48"/>
      <c r="B815" s="44"/>
    </row>
    <row r="816" spans="1:2" x14ac:dyDescent="0.3">
      <c r="A816" s="48"/>
      <c r="B816" s="44"/>
    </row>
    <row r="817" spans="1:2" x14ac:dyDescent="0.3">
      <c r="A817" s="48"/>
      <c r="B817" s="44"/>
    </row>
    <row r="818" spans="1:2" x14ac:dyDescent="0.3">
      <c r="A818" s="48"/>
      <c r="B818" s="44"/>
    </row>
    <row r="819" spans="1:2" x14ac:dyDescent="0.3">
      <c r="A819" s="48"/>
      <c r="B819" s="44"/>
    </row>
    <row r="820" spans="1:2" x14ac:dyDescent="0.3">
      <c r="A820" s="48"/>
      <c r="B820" s="44"/>
    </row>
    <row r="821" spans="1:2" x14ac:dyDescent="0.3">
      <c r="A821" s="48"/>
      <c r="B821" s="44"/>
    </row>
    <row r="822" spans="1:2" x14ac:dyDescent="0.3">
      <c r="A822" s="48"/>
      <c r="B822" s="44"/>
    </row>
    <row r="823" spans="1:2" x14ac:dyDescent="0.3">
      <c r="A823" s="48"/>
      <c r="B823" s="44"/>
    </row>
    <row r="824" spans="1:2" x14ac:dyDescent="0.3">
      <c r="A824" s="48"/>
      <c r="B824" s="44"/>
    </row>
    <row r="825" spans="1:2" x14ac:dyDescent="0.3">
      <c r="A825" s="48"/>
      <c r="B825" s="44"/>
    </row>
    <row r="826" spans="1:2" x14ac:dyDescent="0.3">
      <c r="A826" s="48"/>
      <c r="B826" s="44"/>
    </row>
    <row r="827" spans="1:2" x14ac:dyDescent="0.3">
      <c r="A827" s="48"/>
      <c r="B827" s="44"/>
    </row>
    <row r="828" spans="1:2" x14ac:dyDescent="0.3">
      <c r="A828" s="48"/>
      <c r="B828" s="44"/>
    </row>
    <row r="829" spans="1:2" x14ac:dyDescent="0.3">
      <c r="A829" s="48"/>
      <c r="B829" s="44"/>
    </row>
    <row r="830" spans="1:2" x14ac:dyDescent="0.3">
      <c r="A830" s="48"/>
      <c r="B830" s="44"/>
    </row>
    <row r="831" spans="1:2" x14ac:dyDescent="0.3">
      <c r="A831" s="48"/>
      <c r="B831" s="44"/>
    </row>
    <row r="832" spans="1:2" x14ac:dyDescent="0.3">
      <c r="A832" s="48"/>
      <c r="B832" s="44"/>
    </row>
    <row r="833" spans="1:2" x14ac:dyDescent="0.3">
      <c r="A833" s="48"/>
      <c r="B833" s="44"/>
    </row>
    <row r="834" spans="1:2" x14ac:dyDescent="0.3">
      <c r="A834" s="48"/>
      <c r="B834" s="44"/>
    </row>
    <row r="835" spans="1:2" x14ac:dyDescent="0.3">
      <c r="A835" s="48"/>
      <c r="B835" s="44"/>
    </row>
    <row r="836" spans="1:2" x14ac:dyDescent="0.3">
      <c r="A836" s="48"/>
      <c r="B836" s="44"/>
    </row>
    <row r="837" spans="1:2" x14ac:dyDescent="0.3">
      <c r="A837" s="48"/>
      <c r="B837" s="44"/>
    </row>
    <row r="838" spans="1:2" x14ac:dyDescent="0.3">
      <c r="A838" s="48"/>
      <c r="B838" s="44"/>
    </row>
    <row r="839" spans="1:2" x14ac:dyDescent="0.3">
      <c r="A839" s="48"/>
      <c r="B839" s="44"/>
    </row>
    <row r="840" spans="1:2" x14ac:dyDescent="0.3">
      <c r="A840" s="48"/>
      <c r="B840" s="44"/>
    </row>
    <row r="841" spans="1:2" x14ac:dyDescent="0.3">
      <c r="A841" s="48"/>
      <c r="B841" s="44"/>
    </row>
    <row r="842" spans="1:2" x14ac:dyDescent="0.3">
      <c r="A842" s="48"/>
      <c r="B842" s="44"/>
    </row>
    <row r="843" spans="1:2" x14ac:dyDescent="0.3">
      <c r="A843" s="48"/>
      <c r="B843" s="44"/>
    </row>
    <row r="844" spans="1:2" x14ac:dyDescent="0.3">
      <c r="A844" s="48"/>
      <c r="B844" s="44"/>
    </row>
    <row r="845" spans="1:2" x14ac:dyDescent="0.3">
      <c r="A845" s="48"/>
      <c r="B845" s="44"/>
    </row>
    <row r="846" spans="1:2" x14ac:dyDescent="0.3">
      <c r="A846" s="48"/>
      <c r="B846" s="44"/>
    </row>
    <row r="847" spans="1:2" x14ac:dyDescent="0.3">
      <c r="A847" s="48"/>
      <c r="B847" s="44"/>
    </row>
    <row r="848" spans="1:2" x14ac:dyDescent="0.3">
      <c r="A848" s="48"/>
      <c r="B848" s="44"/>
    </row>
    <row r="849" spans="1:2" x14ac:dyDescent="0.3">
      <c r="A849" s="48"/>
      <c r="B849" s="44"/>
    </row>
    <row r="850" spans="1:2" x14ac:dyDescent="0.3">
      <c r="A850" s="48"/>
      <c r="B850" s="44"/>
    </row>
    <row r="851" spans="1:2" x14ac:dyDescent="0.3">
      <c r="A851" s="48"/>
      <c r="B851" s="44"/>
    </row>
    <row r="852" spans="1:2" x14ac:dyDescent="0.3">
      <c r="A852" s="48"/>
      <c r="B852" s="44"/>
    </row>
    <row r="853" spans="1:2" x14ac:dyDescent="0.3">
      <c r="A853" s="48"/>
      <c r="B853" s="44"/>
    </row>
    <row r="854" spans="1:2" x14ac:dyDescent="0.3">
      <c r="A854" s="48"/>
      <c r="B854" s="44"/>
    </row>
    <row r="855" spans="1:2" x14ac:dyDescent="0.3">
      <c r="A855" s="48"/>
      <c r="B855" s="44"/>
    </row>
    <row r="856" spans="1:2" x14ac:dyDescent="0.3">
      <c r="A856" s="48"/>
      <c r="B856" s="44"/>
    </row>
    <row r="857" spans="1:2" x14ac:dyDescent="0.3">
      <c r="A857" s="48"/>
      <c r="B857" s="44"/>
    </row>
    <row r="858" spans="1:2" x14ac:dyDescent="0.3">
      <c r="A858" s="48"/>
      <c r="B858" s="44"/>
    </row>
    <row r="859" spans="1:2" x14ac:dyDescent="0.3">
      <c r="A859" s="48"/>
      <c r="B859" s="44"/>
    </row>
    <row r="860" spans="1:2" x14ac:dyDescent="0.3">
      <c r="A860" s="48"/>
      <c r="B860" s="44"/>
    </row>
    <row r="861" spans="1:2" x14ac:dyDescent="0.3">
      <c r="A861" s="48"/>
      <c r="B861" s="44"/>
    </row>
    <row r="862" spans="1:2" x14ac:dyDescent="0.3">
      <c r="A862" s="48"/>
      <c r="B862" s="44"/>
    </row>
    <row r="863" spans="1:2" x14ac:dyDescent="0.3">
      <c r="A863" s="48"/>
      <c r="B863" s="44"/>
    </row>
    <row r="864" spans="1:2" x14ac:dyDescent="0.3">
      <c r="A864" s="48"/>
      <c r="B864" s="44"/>
    </row>
    <row r="865" spans="1:2" x14ac:dyDescent="0.3">
      <c r="A865" s="48"/>
      <c r="B865" s="44"/>
    </row>
    <row r="866" spans="1:2" x14ac:dyDescent="0.3">
      <c r="A866" s="48"/>
      <c r="B866" s="44"/>
    </row>
    <row r="867" spans="1:2" x14ac:dyDescent="0.3">
      <c r="A867" s="48"/>
      <c r="B867" s="44"/>
    </row>
    <row r="868" spans="1:2" x14ac:dyDescent="0.3">
      <c r="A868" s="48"/>
      <c r="B868" s="44"/>
    </row>
    <row r="869" spans="1:2" x14ac:dyDescent="0.3">
      <c r="A869" s="48"/>
      <c r="B869" s="44"/>
    </row>
    <row r="870" spans="1:2" x14ac:dyDescent="0.3">
      <c r="A870" s="48"/>
      <c r="B870" s="44"/>
    </row>
    <row r="871" spans="1:2" x14ac:dyDescent="0.3">
      <c r="A871" s="48"/>
      <c r="B871" s="44"/>
    </row>
    <row r="872" spans="1:2" x14ac:dyDescent="0.3">
      <c r="A872" s="48"/>
      <c r="B872" s="44"/>
    </row>
    <row r="873" spans="1:2" x14ac:dyDescent="0.3">
      <c r="A873" s="48"/>
      <c r="B873" s="44"/>
    </row>
    <row r="874" spans="1:2" x14ac:dyDescent="0.3">
      <c r="A874" s="48"/>
      <c r="B874" s="44"/>
    </row>
    <row r="875" spans="1:2" x14ac:dyDescent="0.3">
      <c r="A875" s="48"/>
      <c r="B875" s="44"/>
    </row>
    <row r="876" spans="1:2" x14ac:dyDescent="0.3">
      <c r="A876" s="48"/>
      <c r="B876" s="44"/>
    </row>
    <row r="877" spans="1:2" x14ac:dyDescent="0.3">
      <c r="A877" s="48"/>
      <c r="B877" s="44"/>
    </row>
    <row r="878" spans="1:2" x14ac:dyDescent="0.3">
      <c r="A878" s="48"/>
      <c r="B878" s="44"/>
    </row>
    <row r="879" spans="1:2" x14ac:dyDescent="0.3">
      <c r="A879" s="48"/>
      <c r="B879" s="44"/>
    </row>
    <row r="880" spans="1:2" x14ac:dyDescent="0.3">
      <c r="A880" s="48"/>
      <c r="B880" s="44"/>
    </row>
    <row r="881" spans="1:2" x14ac:dyDescent="0.3">
      <c r="A881" s="48"/>
      <c r="B881" s="44"/>
    </row>
    <row r="882" spans="1:2" x14ac:dyDescent="0.3">
      <c r="A882" s="48"/>
      <c r="B882" s="44"/>
    </row>
    <row r="883" spans="1:2" x14ac:dyDescent="0.3">
      <c r="A883" s="48"/>
      <c r="B883" s="44"/>
    </row>
    <row r="884" spans="1:2" x14ac:dyDescent="0.3">
      <c r="A884" s="48"/>
      <c r="B884" s="44"/>
    </row>
    <row r="885" spans="1:2" x14ac:dyDescent="0.3">
      <c r="A885" s="48"/>
      <c r="B885" s="44"/>
    </row>
    <row r="886" spans="1:2" x14ac:dyDescent="0.3">
      <c r="A886" s="48"/>
      <c r="B886" s="44"/>
    </row>
    <row r="887" spans="1:2" x14ac:dyDescent="0.3">
      <c r="A887" s="48"/>
      <c r="B887" s="44"/>
    </row>
    <row r="888" spans="1:2" x14ac:dyDescent="0.3">
      <c r="A888" s="48"/>
      <c r="B888" s="44"/>
    </row>
    <row r="889" spans="1:2" x14ac:dyDescent="0.3">
      <c r="A889" s="48"/>
      <c r="B889" s="44"/>
    </row>
    <row r="890" spans="1:2" x14ac:dyDescent="0.3">
      <c r="A890" s="48"/>
      <c r="B890" s="44"/>
    </row>
    <row r="891" spans="1:2" x14ac:dyDescent="0.3">
      <c r="A891" s="48"/>
      <c r="B891" s="44"/>
    </row>
    <row r="892" spans="1:2" x14ac:dyDescent="0.3">
      <c r="A892" s="48"/>
      <c r="B892" s="44"/>
    </row>
    <row r="893" spans="1:2" x14ac:dyDescent="0.3">
      <c r="A893" s="48"/>
      <c r="B893" s="44"/>
    </row>
    <row r="894" spans="1:2" x14ac:dyDescent="0.3">
      <c r="A894" s="48"/>
      <c r="B894" s="44"/>
    </row>
    <row r="895" spans="1:2" x14ac:dyDescent="0.3">
      <c r="A895" s="48"/>
      <c r="B895" s="44"/>
    </row>
    <row r="896" spans="1:2" x14ac:dyDescent="0.3">
      <c r="A896" s="48"/>
      <c r="B896" s="44"/>
    </row>
    <row r="897" spans="1:2" x14ac:dyDescent="0.3">
      <c r="A897" s="48"/>
      <c r="B897" s="44"/>
    </row>
    <row r="898" spans="1:2" x14ac:dyDescent="0.3">
      <c r="A898" s="48"/>
      <c r="B898" s="44"/>
    </row>
    <row r="899" spans="1:2" x14ac:dyDescent="0.3">
      <c r="A899" s="48"/>
      <c r="B899" s="44"/>
    </row>
    <row r="900" spans="1:2" x14ac:dyDescent="0.3">
      <c r="A900" s="48"/>
      <c r="B900" s="44"/>
    </row>
    <row r="901" spans="1:2" x14ac:dyDescent="0.3">
      <c r="A901" s="48"/>
      <c r="B901" s="44"/>
    </row>
    <row r="902" spans="1:2" x14ac:dyDescent="0.3">
      <c r="A902" s="48"/>
      <c r="B902" s="44"/>
    </row>
    <row r="903" spans="1:2" x14ac:dyDescent="0.3">
      <c r="A903" s="48"/>
      <c r="B903" s="44"/>
    </row>
    <row r="904" spans="1:2" x14ac:dyDescent="0.3">
      <c r="A904" s="48"/>
      <c r="B904" s="44"/>
    </row>
    <row r="905" spans="1:2" x14ac:dyDescent="0.3">
      <c r="A905" s="48"/>
      <c r="B905" s="44"/>
    </row>
    <row r="906" spans="1:2" x14ac:dyDescent="0.3">
      <c r="A906" s="48"/>
      <c r="B906" s="44"/>
    </row>
    <row r="907" spans="1:2" x14ac:dyDescent="0.3">
      <c r="A907" s="48"/>
      <c r="B907" s="44"/>
    </row>
    <row r="908" spans="1:2" x14ac:dyDescent="0.3">
      <c r="A908" s="48"/>
      <c r="B908" s="44"/>
    </row>
    <row r="909" spans="1:2" x14ac:dyDescent="0.3">
      <c r="A909" s="48"/>
      <c r="B909" s="44"/>
    </row>
    <row r="910" spans="1:2" x14ac:dyDescent="0.3">
      <c r="A910" s="48"/>
      <c r="B910" s="44"/>
    </row>
    <row r="911" spans="1:2" x14ac:dyDescent="0.3">
      <c r="A911" s="48"/>
      <c r="B911" s="44"/>
    </row>
    <row r="912" spans="1:2" x14ac:dyDescent="0.3">
      <c r="A912" s="48"/>
      <c r="B912" s="44"/>
    </row>
    <row r="913" spans="1:2" x14ac:dyDescent="0.3">
      <c r="A913" s="48"/>
      <c r="B913" s="44"/>
    </row>
    <row r="914" spans="1:2" x14ac:dyDescent="0.3">
      <c r="A914" s="48"/>
      <c r="B914" s="44"/>
    </row>
    <row r="915" spans="1:2" x14ac:dyDescent="0.3">
      <c r="A915" s="48"/>
      <c r="B915" s="44"/>
    </row>
    <row r="916" spans="1:2" x14ac:dyDescent="0.3">
      <c r="A916" s="48"/>
      <c r="B916" s="44"/>
    </row>
    <row r="917" spans="1:2" x14ac:dyDescent="0.3">
      <c r="A917" s="48"/>
      <c r="B917" s="44"/>
    </row>
    <row r="918" spans="1:2" x14ac:dyDescent="0.3">
      <c r="A918" s="48"/>
      <c r="B918" s="44"/>
    </row>
    <row r="919" spans="1:2" x14ac:dyDescent="0.3">
      <c r="A919" s="48"/>
      <c r="B919" s="44"/>
    </row>
    <row r="920" spans="1:2" x14ac:dyDescent="0.3">
      <c r="A920" s="48"/>
      <c r="B920" s="44"/>
    </row>
    <row r="921" spans="1:2" x14ac:dyDescent="0.3">
      <c r="A921" s="48"/>
      <c r="B921" s="44"/>
    </row>
    <row r="922" spans="1:2" x14ac:dyDescent="0.3">
      <c r="A922" s="48"/>
      <c r="B922" s="44"/>
    </row>
    <row r="923" spans="1:2" x14ac:dyDescent="0.3">
      <c r="A923" s="48"/>
      <c r="B923" s="44"/>
    </row>
    <row r="924" spans="1:2" x14ac:dyDescent="0.3">
      <c r="A924" s="48"/>
      <c r="B924" s="44"/>
    </row>
    <row r="925" spans="1:2" x14ac:dyDescent="0.3">
      <c r="A925" s="48"/>
      <c r="B925" s="44"/>
    </row>
    <row r="926" spans="1:2" x14ac:dyDescent="0.3">
      <c r="A926" s="48"/>
      <c r="B926" s="44"/>
    </row>
    <row r="927" spans="1:2" x14ac:dyDescent="0.3">
      <c r="A927" s="48"/>
      <c r="B927" s="44"/>
    </row>
    <row r="928" spans="1:2" x14ac:dyDescent="0.3">
      <c r="A928" s="48"/>
      <c r="B928" s="44"/>
    </row>
    <row r="929" spans="1:2" x14ac:dyDescent="0.3">
      <c r="A929" s="48"/>
      <c r="B929" s="44"/>
    </row>
    <row r="930" spans="1:2" x14ac:dyDescent="0.3">
      <c r="A930" s="48"/>
      <c r="B930" s="44"/>
    </row>
    <row r="931" spans="1:2" x14ac:dyDescent="0.3">
      <c r="A931" s="48"/>
      <c r="B931" s="44"/>
    </row>
    <row r="932" spans="1:2" x14ac:dyDescent="0.3">
      <c r="A932" s="48"/>
      <c r="B932" s="44"/>
    </row>
    <row r="933" spans="1:2" x14ac:dyDescent="0.3">
      <c r="A933" s="48"/>
      <c r="B933" s="44"/>
    </row>
    <row r="934" spans="1:2" x14ac:dyDescent="0.3">
      <c r="A934" s="48"/>
      <c r="B934" s="44"/>
    </row>
    <row r="935" spans="1:2" x14ac:dyDescent="0.3">
      <c r="A935" s="48"/>
      <c r="B935" s="44"/>
    </row>
    <row r="936" spans="1:2" x14ac:dyDescent="0.3">
      <c r="A936" s="48"/>
      <c r="B936" s="44"/>
    </row>
    <row r="937" spans="1:2" x14ac:dyDescent="0.3">
      <c r="A937" s="48"/>
      <c r="B937" s="44"/>
    </row>
    <row r="938" spans="1:2" x14ac:dyDescent="0.3">
      <c r="A938" s="48"/>
      <c r="B938" s="44"/>
    </row>
    <row r="939" spans="1:2" x14ac:dyDescent="0.3">
      <c r="A939" s="48"/>
      <c r="B939" s="44"/>
    </row>
    <row r="940" spans="1:2" x14ac:dyDescent="0.3">
      <c r="A940" s="48"/>
      <c r="B940" s="44"/>
    </row>
    <row r="941" spans="1:2" x14ac:dyDescent="0.3">
      <c r="A941" s="48"/>
      <c r="B941" s="44"/>
    </row>
    <row r="942" spans="1:2" x14ac:dyDescent="0.3">
      <c r="A942" s="48"/>
      <c r="B942" s="44"/>
    </row>
    <row r="943" spans="1:2" x14ac:dyDescent="0.3">
      <c r="A943" s="48"/>
      <c r="B943" s="44"/>
    </row>
    <row r="944" spans="1:2" x14ac:dyDescent="0.3">
      <c r="A944" s="48"/>
      <c r="B944" s="44"/>
    </row>
    <row r="945" spans="1:2" x14ac:dyDescent="0.3">
      <c r="A945" s="48"/>
      <c r="B945" s="44"/>
    </row>
    <row r="946" spans="1:2" x14ac:dyDescent="0.3">
      <c r="A946" s="48"/>
      <c r="B946" s="44"/>
    </row>
    <row r="947" spans="1:2" x14ac:dyDescent="0.3">
      <c r="A947" s="48"/>
      <c r="B947" s="44"/>
    </row>
    <row r="948" spans="1:2" x14ac:dyDescent="0.3">
      <c r="A948" s="48"/>
      <c r="B948" s="44"/>
    </row>
    <row r="949" spans="1:2" x14ac:dyDescent="0.3">
      <c r="A949" s="48"/>
      <c r="B949" s="44"/>
    </row>
    <row r="950" spans="1:2" x14ac:dyDescent="0.3">
      <c r="A950" s="48"/>
      <c r="B950" s="44"/>
    </row>
    <row r="951" spans="1:2" x14ac:dyDescent="0.3">
      <c r="A951" s="48"/>
      <c r="B951" s="44"/>
    </row>
    <row r="952" spans="1:2" x14ac:dyDescent="0.3">
      <c r="A952" s="48"/>
      <c r="B952" s="44"/>
    </row>
    <row r="953" spans="1:2" x14ac:dyDescent="0.3">
      <c r="A953" s="48"/>
      <c r="B953" s="44"/>
    </row>
    <row r="954" spans="1:2" x14ac:dyDescent="0.3">
      <c r="A954" s="48"/>
      <c r="B954" s="44"/>
    </row>
    <row r="955" spans="1:2" x14ac:dyDescent="0.3">
      <c r="A955" s="48"/>
      <c r="B955" s="44"/>
    </row>
    <row r="956" spans="1:2" x14ac:dyDescent="0.3">
      <c r="A956" s="48"/>
      <c r="B956" s="44"/>
    </row>
    <row r="957" spans="1:2" x14ac:dyDescent="0.3">
      <c r="A957" s="48"/>
      <c r="B957" s="44"/>
    </row>
    <row r="958" spans="1:2" x14ac:dyDescent="0.3">
      <c r="A958" s="48"/>
      <c r="B958" s="44"/>
    </row>
    <row r="959" spans="1:2" x14ac:dyDescent="0.3">
      <c r="A959" s="48"/>
      <c r="B959" s="44"/>
    </row>
    <row r="960" spans="1:2" x14ac:dyDescent="0.3">
      <c r="A960" s="48"/>
      <c r="B960" s="44"/>
    </row>
    <row r="961" spans="1:2" x14ac:dyDescent="0.3">
      <c r="A961" s="48"/>
      <c r="B961" s="44"/>
    </row>
    <row r="962" spans="1:2" x14ac:dyDescent="0.3">
      <c r="A962" s="48"/>
      <c r="B962" s="44"/>
    </row>
    <row r="963" spans="1:2" x14ac:dyDescent="0.3">
      <c r="A963" s="48"/>
      <c r="B963" s="44"/>
    </row>
    <row r="964" spans="1:2" x14ac:dyDescent="0.3">
      <c r="A964" s="48"/>
      <c r="B964" s="44"/>
    </row>
    <row r="965" spans="1:2" x14ac:dyDescent="0.3">
      <c r="A965" s="48"/>
      <c r="B965" s="44"/>
    </row>
    <row r="966" spans="1:2" x14ac:dyDescent="0.3">
      <c r="A966" s="48"/>
      <c r="B966" s="44"/>
    </row>
    <row r="967" spans="1:2" x14ac:dyDescent="0.3">
      <c r="A967" s="48"/>
      <c r="B967" s="44"/>
    </row>
    <row r="968" spans="1:2" x14ac:dyDescent="0.3">
      <c r="A968" s="48"/>
      <c r="B968" s="44"/>
    </row>
    <row r="969" spans="1:2" x14ac:dyDescent="0.3">
      <c r="A969" s="48"/>
      <c r="B969" s="44"/>
    </row>
    <row r="970" spans="1:2" x14ac:dyDescent="0.3">
      <c r="A970" s="48"/>
      <c r="B970" s="44"/>
    </row>
    <row r="971" spans="1:2" x14ac:dyDescent="0.3">
      <c r="A971" s="48"/>
      <c r="B971" s="44"/>
    </row>
    <row r="972" spans="1:2" x14ac:dyDescent="0.3">
      <c r="A972" s="48"/>
      <c r="B972" s="44"/>
    </row>
    <row r="973" spans="1:2" x14ac:dyDescent="0.3">
      <c r="A973" s="48"/>
      <c r="B973" s="44"/>
    </row>
    <row r="974" spans="1:2" x14ac:dyDescent="0.3">
      <c r="A974" s="48"/>
      <c r="B974" s="44"/>
    </row>
    <row r="975" spans="1:2" x14ac:dyDescent="0.3">
      <c r="A975" s="48"/>
      <c r="B975" s="44"/>
    </row>
    <row r="976" spans="1:2" x14ac:dyDescent="0.3">
      <c r="A976" s="48"/>
      <c r="B976" s="44"/>
    </row>
    <row r="977" spans="1:2" x14ac:dyDescent="0.3">
      <c r="A977" s="48"/>
      <c r="B977" s="44"/>
    </row>
    <row r="978" spans="1:2" x14ac:dyDescent="0.3">
      <c r="A978" s="48"/>
      <c r="B978" s="44"/>
    </row>
    <row r="979" spans="1:2" x14ac:dyDescent="0.3">
      <c r="A979" s="48"/>
      <c r="B979" s="44"/>
    </row>
    <row r="980" spans="1:2" x14ac:dyDescent="0.3">
      <c r="A980" s="48"/>
      <c r="B980" s="44"/>
    </row>
    <row r="981" spans="1:2" x14ac:dyDescent="0.3">
      <c r="A981" s="48"/>
      <c r="B981" s="44"/>
    </row>
    <row r="982" spans="1:2" x14ac:dyDescent="0.3">
      <c r="A982" s="48"/>
      <c r="B982" s="44"/>
    </row>
    <row r="983" spans="1:2" x14ac:dyDescent="0.3">
      <c r="A983" s="48"/>
      <c r="B983" s="44"/>
    </row>
    <row r="984" spans="1:2" x14ac:dyDescent="0.3">
      <c r="A984" s="48"/>
      <c r="B984" s="44"/>
    </row>
    <row r="985" spans="1:2" x14ac:dyDescent="0.3">
      <c r="A985" s="48"/>
      <c r="B985" s="44"/>
    </row>
    <row r="986" spans="1:2" x14ac:dyDescent="0.3">
      <c r="A986" s="48"/>
      <c r="B986" s="44"/>
    </row>
    <row r="987" spans="1:2" x14ac:dyDescent="0.3">
      <c r="A987" s="48"/>
      <c r="B987" s="44"/>
    </row>
    <row r="988" spans="1:2" x14ac:dyDescent="0.3">
      <c r="A988" s="48"/>
      <c r="B988" s="44"/>
    </row>
    <row r="989" spans="1:2" x14ac:dyDescent="0.3">
      <c r="A989" s="48"/>
      <c r="B989" s="44"/>
    </row>
    <row r="990" spans="1:2" x14ac:dyDescent="0.3">
      <c r="A990" s="48"/>
      <c r="B990" s="44"/>
    </row>
    <row r="991" spans="1:2" x14ac:dyDescent="0.3">
      <c r="A991" s="48"/>
      <c r="B991" s="44"/>
    </row>
    <row r="992" spans="1:2" x14ac:dyDescent="0.3">
      <c r="A992" s="48"/>
      <c r="B992" s="44"/>
    </row>
    <row r="993" spans="1:2" x14ac:dyDescent="0.3">
      <c r="A993" s="48"/>
      <c r="B993" s="44"/>
    </row>
    <row r="994" spans="1:2" x14ac:dyDescent="0.3">
      <c r="A994" s="48"/>
      <c r="B994" s="44"/>
    </row>
    <row r="995" spans="1:2" x14ac:dyDescent="0.3">
      <c r="A995" s="48"/>
      <c r="B995" s="44"/>
    </row>
    <row r="996" spans="1:2" x14ac:dyDescent="0.3">
      <c r="A996" s="48"/>
      <c r="B996" s="44"/>
    </row>
    <row r="997" spans="1:2" x14ac:dyDescent="0.3">
      <c r="A997" s="48"/>
      <c r="B997" s="44"/>
    </row>
    <row r="998" spans="1:2" x14ac:dyDescent="0.3">
      <c r="A998" s="48"/>
      <c r="B998" s="44"/>
    </row>
    <row r="999" spans="1:2" x14ac:dyDescent="0.3">
      <c r="A999" s="48"/>
      <c r="B999" s="44"/>
    </row>
    <row r="1000" spans="1:2" x14ac:dyDescent="0.3">
      <c r="A1000" s="48"/>
      <c r="B1000" s="44"/>
    </row>
    <row r="1001" spans="1:2" x14ac:dyDescent="0.3">
      <c r="A1001" s="48"/>
      <c r="B1001" s="44"/>
    </row>
    <row r="1002" spans="1:2" x14ac:dyDescent="0.3">
      <c r="A1002" s="48"/>
      <c r="B1002" s="44"/>
    </row>
    <row r="1003" spans="1:2" x14ac:dyDescent="0.3">
      <c r="A1003" s="48"/>
      <c r="B1003" s="44"/>
    </row>
    <row r="1004" spans="1:2" x14ac:dyDescent="0.3">
      <c r="A1004" s="48"/>
      <c r="B1004" s="44"/>
    </row>
    <row r="1005" spans="1:2" x14ac:dyDescent="0.3">
      <c r="A1005" s="48"/>
      <c r="B1005" s="44"/>
    </row>
    <row r="1006" spans="1:2" x14ac:dyDescent="0.3">
      <c r="A1006" s="48"/>
      <c r="B1006" s="44"/>
    </row>
    <row r="1007" spans="1:2" x14ac:dyDescent="0.3">
      <c r="A1007" s="48"/>
      <c r="B1007" s="44"/>
    </row>
    <row r="1008" spans="1:2" x14ac:dyDescent="0.3">
      <c r="A1008" s="48"/>
      <c r="B1008" s="44"/>
    </row>
    <row r="1009" spans="1:2" x14ac:dyDescent="0.3">
      <c r="A1009" s="48"/>
      <c r="B1009" s="44"/>
    </row>
    <row r="1010" spans="1:2" x14ac:dyDescent="0.3">
      <c r="A1010" s="48"/>
      <c r="B1010" s="44"/>
    </row>
    <row r="1011" spans="1:2" x14ac:dyDescent="0.3">
      <c r="A1011" s="48"/>
      <c r="B1011" s="44"/>
    </row>
    <row r="1012" spans="1:2" x14ac:dyDescent="0.3">
      <c r="A1012" s="48"/>
      <c r="B1012" s="44"/>
    </row>
    <row r="1013" spans="1:2" x14ac:dyDescent="0.3">
      <c r="A1013" s="48"/>
      <c r="B1013" s="44"/>
    </row>
    <row r="1014" spans="1:2" x14ac:dyDescent="0.3">
      <c r="A1014" s="48"/>
      <c r="B1014" s="44"/>
    </row>
    <row r="1015" spans="1:2" x14ac:dyDescent="0.3">
      <c r="A1015" s="48"/>
      <c r="B1015" s="44"/>
    </row>
    <row r="1016" spans="1:2" x14ac:dyDescent="0.3">
      <c r="A1016" s="48"/>
      <c r="B1016" s="44"/>
    </row>
    <row r="1017" spans="1:2" x14ac:dyDescent="0.3">
      <c r="A1017" s="48"/>
      <c r="B1017" s="44"/>
    </row>
    <row r="1018" spans="1:2" x14ac:dyDescent="0.3">
      <c r="A1018" s="48"/>
      <c r="B1018" s="44"/>
    </row>
    <row r="1019" spans="1:2" x14ac:dyDescent="0.3">
      <c r="A1019" s="48"/>
      <c r="B1019" s="44"/>
    </row>
    <row r="1020" spans="1:2" x14ac:dyDescent="0.3">
      <c r="A1020" s="48"/>
      <c r="B1020" s="44"/>
    </row>
    <row r="1021" spans="1:2" x14ac:dyDescent="0.3">
      <c r="A1021" s="48"/>
      <c r="B1021" s="44"/>
    </row>
    <row r="1022" spans="1:2" x14ac:dyDescent="0.3">
      <c r="A1022" s="48"/>
      <c r="B1022" s="44"/>
    </row>
    <row r="1023" spans="1:2" x14ac:dyDescent="0.3">
      <c r="A1023" s="48"/>
      <c r="B1023" s="44"/>
    </row>
    <row r="1024" spans="1:2" x14ac:dyDescent="0.3">
      <c r="A1024" s="48"/>
      <c r="B1024" s="44"/>
    </row>
    <row r="1025" spans="1:2" x14ac:dyDescent="0.3">
      <c r="A1025" s="48"/>
      <c r="B1025" s="44"/>
    </row>
    <row r="1026" spans="1:2" x14ac:dyDescent="0.3">
      <c r="A1026" s="48"/>
      <c r="B1026" s="44"/>
    </row>
    <row r="1027" spans="1:2" x14ac:dyDescent="0.3">
      <c r="A1027" s="48"/>
      <c r="B1027" s="44"/>
    </row>
    <row r="1028" spans="1:2" x14ac:dyDescent="0.3">
      <c r="A1028" s="48"/>
      <c r="B1028" s="44"/>
    </row>
    <row r="1029" spans="1:2" x14ac:dyDescent="0.3">
      <c r="A1029" s="48"/>
      <c r="B1029" s="44"/>
    </row>
    <row r="1030" spans="1:2" x14ac:dyDescent="0.3">
      <c r="A1030" s="48"/>
      <c r="B1030" s="44"/>
    </row>
    <row r="1031" spans="1:2" x14ac:dyDescent="0.3">
      <c r="A1031" s="48"/>
      <c r="B1031" s="44"/>
    </row>
    <row r="1032" spans="1:2" x14ac:dyDescent="0.3">
      <c r="A1032" s="48"/>
      <c r="B1032" s="44"/>
    </row>
    <row r="1033" spans="1:2" x14ac:dyDescent="0.3">
      <c r="A1033" s="48"/>
      <c r="B1033" s="44"/>
    </row>
    <row r="1034" spans="1:2" x14ac:dyDescent="0.3">
      <c r="A1034" s="48"/>
      <c r="B1034" s="44"/>
    </row>
    <row r="1035" spans="1:2" x14ac:dyDescent="0.3">
      <c r="A1035" s="48"/>
      <c r="B1035" s="44"/>
    </row>
    <row r="1036" spans="1:2" x14ac:dyDescent="0.3">
      <c r="A1036" s="48"/>
      <c r="B1036" s="44"/>
    </row>
    <row r="1037" spans="1:2" x14ac:dyDescent="0.3">
      <c r="A1037" s="48"/>
      <c r="B1037" s="44"/>
    </row>
    <row r="1038" spans="1:2" x14ac:dyDescent="0.3">
      <c r="A1038" s="48"/>
      <c r="B1038" s="44"/>
    </row>
    <row r="1039" spans="1:2" x14ac:dyDescent="0.3">
      <c r="A1039" s="48"/>
      <c r="B1039" s="44"/>
    </row>
    <row r="1040" spans="1:2" x14ac:dyDescent="0.3">
      <c r="A1040" s="48"/>
      <c r="B1040" s="44"/>
    </row>
    <row r="1041" spans="1:2" x14ac:dyDescent="0.3">
      <c r="A1041" s="48"/>
      <c r="B1041" s="44"/>
    </row>
    <row r="1042" spans="1:2" x14ac:dyDescent="0.3">
      <c r="A1042" s="48"/>
      <c r="B1042" s="44"/>
    </row>
    <row r="1043" spans="1:2" x14ac:dyDescent="0.3">
      <c r="A1043" s="48"/>
      <c r="B1043" s="44"/>
    </row>
    <row r="1044" spans="1:2" x14ac:dyDescent="0.3">
      <c r="A1044" s="48"/>
      <c r="B1044" s="44"/>
    </row>
    <row r="1045" spans="1:2" x14ac:dyDescent="0.3">
      <c r="A1045" s="48"/>
      <c r="B1045" s="44"/>
    </row>
    <row r="1046" spans="1:2" x14ac:dyDescent="0.3">
      <c r="A1046" s="48"/>
      <c r="B1046" s="44"/>
    </row>
    <row r="1047" spans="1:2" x14ac:dyDescent="0.3">
      <c r="A1047" s="48"/>
      <c r="B1047" s="44"/>
    </row>
    <row r="1048" spans="1:2" x14ac:dyDescent="0.3">
      <c r="A1048" s="48"/>
      <c r="B1048" s="44"/>
    </row>
    <row r="1049" spans="1:2" x14ac:dyDescent="0.3">
      <c r="A1049" s="48"/>
      <c r="B1049" s="44"/>
    </row>
    <row r="1050" spans="1:2" x14ac:dyDescent="0.3">
      <c r="A1050" s="48"/>
      <c r="B1050" s="44"/>
    </row>
    <row r="1051" spans="1:2" x14ac:dyDescent="0.3">
      <c r="A1051" s="48"/>
      <c r="B1051" s="44"/>
    </row>
    <row r="1052" spans="1:2" x14ac:dyDescent="0.3">
      <c r="A1052" s="48"/>
      <c r="B1052" s="44"/>
    </row>
    <row r="1053" spans="1:2" x14ac:dyDescent="0.3">
      <c r="A1053" s="48"/>
      <c r="B1053" s="44"/>
    </row>
    <row r="1054" spans="1:2" x14ac:dyDescent="0.3">
      <c r="A1054" s="48"/>
      <c r="B1054" s="44"/>
    </row>
    <row r="1055" spans="1:2" x14ac:dyDescent="0.3">
      <c r="A1055" s="48"/>
      <c r="B1055" s="44"/>
    </row>
    <row r="1056" spans="1:2" x14ac:dyDescent="0.3">
      <c r="A1056" s="48"/>
      <c r="B1056" s="44"/>
    </row>
    <row r="1057" spans="1:2" x14ac:dyDescent="0.3">
      <c r="A1057" s="48"/>
      <c r="B1057" s="44"/>
    </row>
    <row r="1058" spans="1:2" x14ac:dyDescent="0.3">
      <c r="A1058" s="48"/>
      <c r="B1058" s="44"/>
    </row>
    <row r="1059" spans="1:2" x14ac:dyDescent="0.3">
      <c r="A1059" s="48"/>
      <c r="B1059" s="44"/>
    </row>
    <row r="1060" spans="1:2" x14ac:dyDescent="0.3">
      <c r="A1060" s="48"/>
      <c r="B1060" s="44"/>
    </row>
    <row r="1061" spans="1:2" x14ac:dyDescent="0.3">
      <c r="A1061" s="48"/>
      <c r="B1061" s="44"/>
    </row>
    <row r="1062" spans="1:2" x14ac:dyDescent="0.3">
      <c r="A1062" s="48"/>
      <c r="B1062" s="44"/>
    </row>
    <row r="1063" spans="1:2" x14ac:dyDescent="0.3">
      <c r="A1063" s="48"/>
      <c r="B1063" s="44"/>
    </row>
    <row r="1064" spans="1:2" x14ac:dyDescent="0.3">
      <c r="A1064" s="48"/>
      <c r="B1064" s="44"/>
    </row>
    <row r="1065" spans="1:2" x14ac:dyDescent="0.3">
      <c r="A1065" s="48"/>
      <c r="B1065" s="44"/>
    </row>
    <row r="1066" spans="1:2" x14ac:dyDescent="0.3">
      <c r="A1066" s="48"/>
      <c r="B1066" s="44"/>
    </row>
    <row r="1067" spans="1:2" x14ac:dyDescent="0.3">
      <c r="A1067" s="48"/>
      <c r="B1067" s="44"/>
    </row>
    <row r="1068" spans="1:2" x14ac:dyDescent="0.3">
      <c r="A1068" s="48"/>
      <c r="B1068" s="44"/>
    </row>
    <row r="1069" spans="1:2" x14ac:dyDescent="0.3">
      <c r="A1069" s="48"/>
      <c r="B1069" s="44"/>
    </row>
    <row r="1070" spans="1:2" x14ac:dyDescent="0.3">
      <c r="A1070" s="48"/>
      <c r="B1070" s="44"/>
    </row>
    <row r="1071" spans="1:2" x14ac:dyDescent="0.3">
      <c r="A1071" s="48"/>
      <c r="B1071" s="44"/>
    </row>
    <row r="1072" spans="1:2" x14ac:dyDescent="0.3">
      <c r="A1072" s="48"/>
      <c r="B1072" s="44"/>
    </row>
    <row r="1073" spans="1:2" x14ac:dyDescent="0.3">
      <c r="A1073" s="48"/>
      <c r="B1073" s="44"/>
    </row>
    <row r="1074" spans="1:2" x14ac:dyDescent="0.3">
      <c r="A1074" s="48"/>
      <c r="B1074" s="44"/>
    </row>
    <row r="1075" spans="1:2" x14ac:dyDescent="0.3">
      <c r="A1075" s="48"/>
      <c r="B1075" s="44"/>
    </row>
    <row r="1076" spans="1:2" x14ac:dyDescent="0.3">
      <c r="A1076" s="48"/>
      <c r="B1076" s="44"/>
    </row>
    <row r="1077" spans="1:2" x14ac:dyDescent="0.3">
      <c r="A1077" s="48"/>
      <c r="B1077" s="44"/>
    </row>
    <row r="1078" spans="1:2" x14ac:dyDescent="0.3">
      <c r="A1078" s="48"/>
      <c r="B1078" s="44"/>
    </row>
    <row r="1079" spans="1:2" x14ac:dyDescent="0.3">
      <c r="A1079" s="48"/>
      <c r="B1079" s="44"/>
    </row>
    <row r="1080" spans="1:2" x14ac:dyDescent="0.3">
      <c r="A1080" s="48"/>
      <c r="B1080" s="44"/>
    </row>
    <row r="1081" spans="1:2" x14ac:dyDescent="0.3">
      <c r="A1081" s="48"/>
      <c r="B1081" s="44"/>
    </row>
    <row r="1082" spans="1:2" x14ac:dyDescent="0.3">
      <c r="A1082" s="48"/>
      <c r="B1082" s="44"/>
    </row>
    <row r="1083" spans="1:2" x14ac:dyDescent="0.3">
      <c r="A1083" s="48"/>
      <c r="B1083" s="44"/>
    </row>
    <row r="1084" spans="1:2" x14ac:dyDescent="0.3">
      <c r="A1084" s="48"/>
      <c r="B1084" s="44"/>
    </row>
    <row r="1085" spans="1:2" x14ac:dyDescent="0.3">
      <c r="A1085" s="48"/>
      <c r="B1085" s="44"/>
    </row>
    <row r="1086" spans="1:2" x14ac:dyDescent="0.3">
      <c r="A1086" s="48"/>
      <c r="B1086" s="44"/>
    </row>
    <row r="1087" spans="1:2" x14ac:dyDescent="0.3">
      <c r="A1087" s="48"/>
      <c r="B1087" s="44"/>
    </row>
    <row r="1088" spans="1:2" x14ac:dyDescent="0.3">
      <c r="A1088" s="48"/>
      <c r="B1088" s="44"/>
    </row>
    <row r="1089" spans="1:2" x14ac:dyDescent="0.3">
      <c r="A1089" s="48"/>
      <c r="B1089" s="44"/>
    </row>
    <row r="1090" spans="1:2" x14ac:dyDescent="0.3">
      <c r="A1090" s="48"/>
      <c r="B1090" s="44"/>
    </row>
    <row r="1091" spans="1:2" x14ac:dyDescent="0.3">
      <c r="A1091" s="48"/>
      <c r="B1091" s="44"/>
    </row>
    <row r="1092" spans="1:2" x14ac:dyDescent="0.3">
      <c r="A1092" s="48"/>
      <c r="B1092" s="44"/>
    </row>
    <row r="1093" spans="1:2" x14ac:dyDescent="0.3">
      <c r="A1093" s="48"/>
      <c r="B1093" s="44"/>
    </row>
    <row r="1094" spans="1:2" x14ac:dyDescent="0.3">
      <c r="A1094" s="48"/>
      <c r="B1094" s="44"/>
    </row>
    <row r="1095" spans="1:2" x14ac:dyDescent="0.3">
      <c r="A1095" s="48"/>
      <c r="B1095" s="44"/>
    </row>
    <row r="1096" spans="1:2" x14ac:dyDescent="0.3">
      <c r="A1096" s="48"/>
      <c r="B1096" s="44"/>
    </row>
    <row r="1097" spans="1:2" x14ac:dyDescent="0.3">
      <c r="A1097" s="48"/>
      <c r="B1097" s="44"/>
    </row>
    <row r="1098" spans="1:2" x14ac:dyDescent="0.3">
      <c r="A1098" s="48"/>
      <c r="B1098" s="44"/>
    </row>
    <row r="1099" spans="1:2" x14ac:dyDescent="0.3">
      <c r="A1099" s="48"/>
      <c r="B1099" s="44"/>
    </row>
    <row r="1100" spans="1:2" x14ac:dyDescent="0.3">
      <c r="A1100" s="48"/>
      <c r="B1100" s="44"/>
    </row>
    <row r="1101" spans="1:2" x14ac:dyDescent="0.3">
      <c r="A1101" s="48"/>
      <c r="B1101" s="44"/>
    </row>
    <row r="1102" spans="1:2" x14ac:dyDescent="0.3">
      <c r="A1102" s="48"/>
      <c r="B1102" s="44"/>
    </row>
    <row r="1103" spans="1:2" x14ac:dyDescent="0.3">
      <c r="A1103" s="48"/>
      <c r="B1103" s="44"/>
    </row>
    <row r="1104" spans="1:2" x14ac:dyDescent="0.3">
      <c r="A1104" s="48"/>
      <c r="B1104" s="44"/>
    </row>
    <row r="1105" spans="1:2" x14ac:dyDescent="0.3">
      <c r="A1105" s="48"/>
      <c r="B1105" s="44"/>
    </row>
    <row r="1106" spans="1:2" x14ac:dyDescent="0.3">
      <c r="A1106" s="48"/>
      <c r="B1106" s="44"/>
    </row>
    <row r="1107" spans="1:2" x14ac:dyDescent="0.3">
      <c r="A1107" s="48"/>
      <c r="B1107" s="44"/>
    </row>
    <row r="1108" spans="1:2" x14ac:dyDescent="0.3">
      <c r="A1108" s="48"/>
      <c r="B1108" s="44"/>
    </row>
    <row r="1109" spans="1:2" x14ac:dyDescent="0.3">
      <c r="A1109" s="48"/>
      <c r="B1109" s="44"/>
    </row>
    <row r="1110" spans="1:2" x14ac:dyDescent="0.3">
      <c r="A1110" s="48"/>
      <c r="B1110" s="44"/>
    </row>
    <row r="1111" spans="1:2" x14ac:dyDescent="0.3">
      <c r="A1111" s="48"/>
      <c r="B1111" s="44"/>
    </row>
    <row r="1112" spans="1:2" x14ac:dyDescent="0.3">
      <c r="A1112" s="48"/>
      <c r="B1112" s="44"/>
    </row>
    <row r="1113" spans="1:2" x14ac:dyDescent="0.3">
      <c r="A1113" s="48"/>
      <c r="B1113" s="44"/>
    </row>
    <row r="1114" spans="1:2" x14ac:dyDescent="0.3">
      <c r="A1114" s="48"/>
      <c r="B1114" s="44"/>
    </row>
    <row r="1115" spans="1:2" x14ac:dyDescent="0.3">
      <c r="A1115" s="48"/>
      <c r="B1115" s="44"/>
    </row>
    <row r="1116" spans="1:2" x14ac:dyDescent="0.3">
      <c r="A1116" s="48"/>
      <c r="B1116" s="44"/>
    </row>
    <row r="1117" spans="1:2" x14ac:dyDescent="0.3">
      <c r="A1117" s="48"/>
      <c r="B1117" s="44"/>
    </row>
    <row r="1118" spans="1:2" x14ac:dyDescent="0.3">
      <c r="A1118" s="48"/>
      <c r="B1118" s="44"/>
    </row>
    <row r="1119" spans="1:2" x14ac:dyDescent="0.3">
      <c r="A1119" s="48"/>
      <c r="B1119" s="44"/>
    </row>
    <row r="1120" spans="1:2" x14ac:dyDescent="0.3">
      <c r="A1120" s="48"/>
      <c r="B1120" s="44"/>
    </row>
    <row r="1121" spans="1:2" x14ac:dyDescent="0.3">
      <c r="A1121" s="48"/>
      <c r="B1121" s="44"/>
    </row>
    <row r="1122" spans="1:2" x14ac:dyDescent="0.3">
      <c r="A1122" s="48"/>
      <c r="B1122" s="44"/>
    </row>
    <row r="1123" spans="1:2" x14ac:dyDescent="0.3">
      <c r="A1123" s="48"/>
      <c r="B1123" s="44"/>
    </row>
    <row r="1124" spans="1:2" x14ac:dyDescent="0.3">
      <c r="A1124" s="48"/>
      <c r="B1124" s="44"/>
    </row>
    <row r="1125" spans="1:2" x14ac:dyDescent="0.3">
      <c r="A1125" s="48"/>
      <c r="B1125" s="44"/>
    </row>
    <row r="1126" spans="1:2" x14ac:dyDescent="0.3">
      <c r="A1126" s="48"/>
      <c r="B1126" s="44"/>
    </row>
    <row r="1127" spans="1:2" x14ac:dyDescent="0.3">
      <c r="A1127" s="48"/>
      <c r="B1127" s="44"/>
    </row>
    <row r="1128" spans="1:2" x14ac:dyDescent="0.3">
      <c r="A1128" s="48"/>
      <c r="B1128" s="44"/>
    </row>
    <row r="1129" spans="1:2" x14ac:dyDescent="0.3">
      <c r="A1129" s="48"/>
      <c r="B1129" s="44"/>
    </row>
    <row r="1130" spans="1:2" x14ac:dyDescent="0.3">
      <c r="A1130" s="48"/>
      <c r="B1130" s="44"/>
    </row>
    <row r="1131" spans="1:2" x14ac:dyDescent="0.3">
      <c r="A1131" s="48"/>
      <c r="B1131" s="44"/>
    </row>
    <row r="1132" spans="1:2" x14ac:dyDescent="0.3">
      <c r="A1132" s="48"/>
      <c r="B1132" s="44"/>
    </row>
    <row r="1133" spans="1:2" x14ac:dyDescent="0.3">
      <c r="A1133" s="48"/>
      <c r="B1133" s="44"/>
    </row>
    <row r="1134" spans="1:2" x14ac:dyDescent="0.3">
      <c r="A1134" s="48"/>
      <c r="B1134" s="44"/>
    </row>
    <row r="1135" spans="1:2" x14ac:dyDescent="0.3">
      <c r="A1135" s="48"/>
      <c r="B1135" s="44"/>
    </row>
    <row r="1136" spans="1:2" x14ac:dyDescent="0.3">
      <c r="A1136" s="48"/>
      <c r="B1136" s="44"/>
    </row>
    <row r="1137" spans="1:2" x14ac:dyDescent="0.3">
      <c r="A1137" s="48"/>
      <c r="B1137" s="44"/>
    </row>
    <row r="1138" spans="1:2" x14ac:dyDescent="0.3">
      <c r="A1138" s="48"/>
      <c r="B1138" s="44"/>
    </row>
    <row r="1139" spans="1:2" x14ac:dyDescent="0.3">
      <c r="A1139" s="48"/>
      <c r="B1139" s="44"/>
    </row>
    <row r="1140" spans="1:2" x14ac:dyDescent="0.3">
      <c r="A1140" s="48"/>
      <c r="B1140" s="44"/>
    </row>
    <row r="1141" spans="1:2" x14ac:dyDescent="0.3">
      <c r="A1141" s="48"/>
      <c r="B1141" s="44"/>
    </row>
    <row r="1142" spans="1:2" x14ac:dyDescent="0.3">
      <c r="A1142" s="48"/>
      <c r="B1142" s="44"/>
    </row>
    <row r="1143" spans="1:2" x14ac:dyDescent="0.3">
      <c r="A1143" s="48"/>
      <c r="B1143" s="44"/>
    </row>
    <row r="1144" spans="1:2" x14ac:dyDescent="0.3">
      <c r="A1144" s="48"/>
      <c r="B1144" s="44"/>
    </row>
    <row r="1145" spans="1:2" x14ac:dyDescent="0.3">
      <c r="A1145" s="48"/>
      <c r="B1145" s="44"/>
    </row>
    <row r="1146" spans="1:2" x14ac:dyDescent="0.3">
      <c r="A1146" s="48"/>
      <c r="B1146" s="44"/>
    </row>
    <row r="1147" spans="1:2" x14ac:dyDescent="0.3">
      <c r="A1147" s="48"/>
      <c r="B1147" s="44"/>
    </row>
    <row r="1148" spans="1:2" x14ac:dyDescent="0.3">
      <c r="A1148" s="48"/>
      <c r="B1148" s="44"/>
    </row>
    <row r="1149" spans="1:2" x14ac:dyDescent="0.3">
      <c r="A1149" s="48"/>
      <c r="B1149" s="44"/>
    </row>
    <row r="1150" spans="1:2" x14ac:dyDescent="0.3">
      <c r="A1150" s="48"/>
      <c r="B1150" s="44"/>
    </row>
    <row r="1151" spans="1:2" x14ac:dyDescent="0.3">
      <c r="A1151" s="48"/>
      <c r="B1151" s="44"/>
    </row>
    <row r="1152" spans="1:2" x14ac:dyDescent="0.3">
      <c r="A1152" s="48"/>
      <c r="B1152" s="44"/>
    </row>
    <row r="1153" spans="1:2" x14ac:dyDescent="0.3">
      <c r="A1153" s="48"/>
      <c r="B1153" s="44"/>
    </row>
    <row r="1154" spans="1:2" x14ac:dyDescent="0.3">
      <c r="A1154" s="48"/>
      <c r="B1154" s="44"/>
    </row>
    <row r="1155" spans="1:2" x14ac:dyDescent="0.3">
      <c r="A1155" s="48"/>
      <c r="B1155" s="44"/>
    </row>
    <row r="1156" spans="1:2" x14ac:dyDescent="0.3">
      <c r="A1156" s="48"/>
      <c r="B1156" s="44"/>
    </row>
    <row r="1157" spans="1:2" x14ac:dyDescent="0.3">
      <c r="A1157" s="48"/>
      <c r="B1157" s="44"/>
    </row>
    <row r="1158" spans="1:2" x14ac:dyDescent="0.3">
      <c r="A1158" s="48"/>
      <c r="B1158" s="44"/>
    </row>
    <row r="1159" spans="1:2" x14ac:dyDescent="0.3">
      <c r="A1159" s="48"/>
      <c r="B1159" s="44"/>
    </row>
    <row r="1160" spans="1:2" x14ac:dyDescent="0.3">
      <c r="A1160" s="48"/>
      <c r="B1160" s="44"/>
    </row>
    <row r="1161" spans="1:2" x14ac:dyDescent="0.3">
      <c r="A1161" s="48"/>
      <c r="B1161" s="44"/>
    </row>
    <row r="1162" spans="1:2" x14ac:dyDescent="0.3">
      <c r="A1162" s="48"/>
      <c r="B1162" s="44"/>
    </row>
    <row r="1163" spans="1:2" x14ac:dyDescent="0.3">
      <c r="A1163" s="48"/>
      <c r="B1163" s="44"/>
    </row>
    <row r="1164" spans="1:2" x14ac:dyDescent="0.3">
      <c r="A1164" s="48"/>
      <c r="B1164" s="44"/>
    </row>
    <row r="1165" spans="1:2" x14ac:dyDescent="0.3">
      <c r="A1165" s="48"/>
      <c r="B1165" s="44"/>
    </row>
    <row r="1166" spans="1:2" x14ac:dyDescent="0.3">
      <c r="A1166" s="48"/>
      <c r="B1166" s="44"/>
    </row>
    <row r="1167" spans="1:2" x14ac:dyDescent="0.3">
      <c r="A1167" s="48"/>
      <c r="B1167" s="44"/>
    </row>
    <row r="1168" spans="1:2" x14ac:dyDescent="0.3">
      <c r="A1168" s="48"/>
      <c r="B1168" s="44"/>
    </row>
    <row r="1169" spans="1:2" x14ac:dyDescent="0.3">
      <c r="A1169" s="48"/>
      <c r="B1169" s="44"/>
    </row>
    <row r="1170" spans="1:2" x14ac:dyDescent="0.3">
      <c r="A1170" s="48"/>
      <c r="B1170" s="44"/>
    </row>
    <row r="1171" spans="1:2" x14ac:dyDescent="0.3">
      <c r="A1171" s="48"/>
      <c r="B1171" s="44"/>
    </row>
    <row r="1172" spans="1:2" x14ac:dyDescent="0.3">
      <c r="A1172" s="48"/>
      <c r="B1172" s="44"/>
    </row>
    <row r="1173" spans="1:2" x14ac:dyDescent="0.3">
      <c r="A1173" s="48"/>
      <c r="B1173" s="44"/>
    </row>
    <row r="1174" spans="1:2" x14ac:dyDescent="0.3">
      <c r="A1174" s="48"/>
      <c r="B1174" s="44"/>
    </row>
    <row r="1175" spans="1:2" x14ac:dyDescent="0.3">
      <c r="A1175" s="48"/>
      <c r="B1175" s="44"/>
    </row>
    <row r="1176" spans="1:2" x14ac:dyDescent="0.3">
      <c r="A1176" s="48"/>
      <c r="B1176" s="44"/>
    </row>
    <row r="1177" spans="1:2" x14ac:dyDescent="0.3">
      <c r="A1177" s="48"/>
      <c r="B1177" s="44"/>
    </row>
    <row r="1178" spans="1:2" x14ac:dyDescent="0.3">
      <c r="A1178" s="48"/>
      <c r="B1178" s="44"/>
    </row>
    <row r="1179" spans="1:2" x14ac:dyDescent="0.3">
      <c r="A1179" s="48"/>
      <c r="B1179" s="44"/>
    </row>
    <row r="1180" spans="1:2" x14ac:dyDescent="0.3">
      <c r="A1180" s="48"/>
      <c r="B1180" s="44"/>
    </row>
    <row r="1181" spans="1:2" x14ac:dyDescent="0.3">
      <c r="A1181" s="48"/>
      <c r="B1181" s="44"/>
    </row>
    <row r="1182" spans="1:2" x14ac:dyDescent="0.3">
      <c r="A1182" s="48"/>
      <c r="B1182" s="44"/>
    </row>
    <row r="1183" spans="1:2" x14ac:dyDescent="0.3">
      <c r="A1183" s="48"/>
      <c r="B1183" s="44"/>
    </row>
    <row r="1184" spans="1:2" x14ac:dyDescent="0.3">
      <c r="A1184" s="48"/>
      <c r="B1184" s="44"/>
    </row>
    <row r="1185" spans="1:2" x14ac:dyDescent="0.3">
      <c r="A1185" s="48"/>
      <c r="B1185" s="44"/>
    </row>
    <row r="1186" spans="1:2" x14ac:dyDescent="0.3">
      <c r="A1186" s="48"/>
      <c r="B1186" s="44"/>
    </row>
    <row r="1187" spans="1:2" x14ac:dyDescent="0.3">
      <c r="A1187" s="48"/>
      <c r="B1187" s="44"/>
    </row>
    <row r="1188" spans="1:2" x14ac:dyDescent="0.3">
      <c r="A1188" s="48"/>
      <c r="B1188" s="44"/>
    </row>
    <row r="1189" spans="1:2" x14ac:dyDescent="0.3">
      <c r="A1189" s="48"/>
      <c r="B1189" s="44"/>
    </row>
    <row r="1190" spans="1:2" x14ac:dyDescent="0.3">
      <c r="A1190" s="48"/>
      <c r="B1190" s="44"/>
    </row>
    <row r="1191" spans="1:2" x14ac:dyDescent="0.3">
      <c r="A1191" s="48"/>
      <c r="B1191" s="44"/>
    </row>
    <row r="1192" spans="1:2" x14ac:dyDescent="0.3">
      <c r="A1192" s="48"/>
      <c r="B1192" s="44"/>
    </row>
    <row r="1193" spans="1:2" x14ac:dyDescent="0.3">
      <c r="A1193" s="48"/>
      <c r="B1193" s="44"/>
    </row>
    <row r="1194" spans="1:2" x14ac:dyDescent="0.3">
      <c r="A1194" s="48"/>
      <c r="B1194" s="44"/>
    </row>
    <row r="1195" spans="1:2" x14ac:dyDescent="0.3">
      <c r="A1195" s="48"/>
      <c r="B1195" s="44"/>
    </row>
    <row r="1196" spans="1:2" x14ac:dyDescent="0.3">
      <c r="A1196" s="48"/>
      <c r="B1196" s="44"/>
    </row>
    <row r="1197" spans="1:2" x14ac:dyDescent="0.3">
      <c r="A1197" s="48"/>
      <c r="B1197" s="44"/>
    </row>
    <row r="1198" spans="1:2" x14ac:dyDescent="0.3">
      <c r="A1198" s="48"/>
      <c r="B1198" s="44"/>
    </row>
    <row r="1199" spans="1:2" x14ac:dyDescent="0.3">
      <c r="A1199" s="48"/>
      <c r="B1199" s="44"/>
    </row>
    <row r="1200" spans="1:2" x14ac:dyDescent="0.3">
      <c r="A1200" s="48"/>
      <c r="B1200" s="44"/>
    </row>
    <row r="1201" spans="1:2" x14ac:dyDescent="0.3">
      <c r="A1201" s="48"/>
      <c r="B1201" s="44"/>
    </row>
    <row r="1202" spans="1:2" x14ac:dyDescent="0.3">
      <c r="A1202" s="48"/>
      <c r="B1202" s="44"/>
    </row>
    <row r="1203" spans="1:2" x14ac:dyDescent="0.3">
      <c r="A1203" s="48"/>
      <c r="B1203" s="44"/>
    </row>
    <row r="1204" spans="1:2" x14ac:dyDescent="0.3">
      <c r="A1204" s="48"/>
      <c r="B1204" s="44"/>
    </row>
    <row r="1205" spans="1:2" x14ac:dyDescent="0.3">
      <c r="A1205" s="48"/>
      <c r="B1205" s="44"/>
    </row>
    <row r="1206" spans="1:2" x14ac:dyDescent="0.3">
      <c r="A1206" s="48"/>
      <c r="B1206" s="44"/>
    </row>
    <row r="1207" spans="1:2" x14ac:dyDescent="0.3">
      <c r="A1207" s="48"/>
      <c r="B1207" s="44"/>
    </row>
    <row r="1208" spans="1:2" x14ac:dyDescent="0.3">
      <c r="A1208" s="48"/>
      <c r="B1208" s="44"/>
    </row>
    <row r="1209" spans="1:2" x14ac:dyDescent="0.3">
      <c r="A1209" s="48"/>
      <c r="B1209" s="44"/>
    </row>
    <row r="1210" spans="1:2" x14ac:dyDescent="0.3">
      <c r="A1210" s="48"/>
      <c r="B1210" s="44"/>
    </row>
    <row r="1211" spans="1:2" x14ac:dyDescent="0.3">
      <c r="A1211" s="48"/>
      <c r="B1211" s="44"/>
    </row>
    <row r="1212" spans="1:2" x14ac:dyDescent="0.3">
      <c r="A1212" s="48"/>
      <c r="B1212" s="44"/>
    </row>
    <row r="1213" spans="1:2" x14ac:dyDescent="0.3">
      <c r="A1213" s="48"/>
      <c r="B1213" s="44"/>
    </row>
    <row r="1214" spans="1:2" x14ac:dyDescent="0.3">
      <c r="A1214" s="48"/>
      <c r="B1214" s="44"/>
    </row>
    <row r="1215" spans="1:2" x14ac:dyDescent="0.3">
      <c r="A1215" s="48"/>
      <c r="B1215" s="44"/>
    </row>
    <row r="1216" spans="1:2" x14ac:dyDescent="0.3">
      <c r="A1216" s="48"/>
      <c r="B1216" s="44"/>
    </row>
    <row r="1217" spans="1:2" x14ac:dyDescent="0.3">
      <c r="A1217" s="48"/>
      <c r="B1217" s="44"/>
    </row>
    <row r="1218" spans="1:2" x14ac:dyDescent="0.3">
      <c r="A1218" s="48"/>
      <c r="B1218" s="44"/>
    </row>
    <row r="1219" spans="1:2" x14ac:dyDescent="0.3">
      <c r="A1219" s="48"/>
      <c r="B1219" s="44"/>
    </row>
    <row r="1220" spans="1:2" x14ac:dyDescent="0.3">
      <c r="A1220" s="48"/>
      <c r="B1220" s="44"/>
    </row>
    <row r="1221" spans="1:2" x14ac:dyDescent="0.3">
      <c r="A1221" s="48"/>
      <c r="B1221" s="44"/>
    </row>
    <row r="1222" spans="1:2" x14ac:dyDescent="0.3">
      <c r="A1222" s="48"/>
      <c r="B1222" s="44"/>
    </row>
    <row r="1223" spans="1:2" x14ac:dyDescent="0.3">
      <c r="A1223" s="48"/>
      <c r="B1223" s="44"/>
    </row>
    <row r="1224" spans="1:2" x14ac:dyDescent="0.3">
      <c r="A1224" s="48"/>
      <c r="B1224" s="44"/>
    </row>
    <row r="1225" spans="1:2" x14ac:dyDescent="0.3">
      <c r="A1225" s="48"/>
      <c r="B1225" s="44"/>
    </row>
    <row r="1226" spans="1:2" x14ac:dyDescent="0.3">
      <c r="A1226" s="48"/>
      <c r="B1226" s="44"/>
    </row>
    <row r="1227" spans="1:2" x14ac:dyDescent="0.3">
      <c r="A1227" s="48"/>
      <c r="B1227" s="44"/>
    </row>
    <row r="1228" spans="1:2" x14ac:dyDescent="0.3">
      <c r="A1228" s="48"/>
      <c r="B1228" s="44"/>
    </row>
    <row r="1229" spans="1:2" x14ac:dyDescent="0.3">
      <c r="A1229" s="48"/>
      <c r="B1229" s="44"/>
    </row>
    <row r="1230" spans="1:2" x14ac:dyDescent="0.3">
      <c r="A1230" s="48"/>
      <c r="B1230" s="44"/>
    </row>
    <row r="1231" spans="1:2" x14ac:dyDescent="0.3">
      <c r="A1231" s="48"/>
      <c r="B1231" s="44"/>
    </row>
    <row r="1232" spans="1:2" x14ac:dyDescent="0.3">
      <c r="A1232" s="48"/>
      <c r="B1232" s="44"/>
    </row>
    <row r="1233" spans="1:2" x14ac:dyDescent="0.3">
      <c r="A1233" s="48"/>
      <c r="B1233" s="44"/>
    </row>
    <row r="1234" spans="1:2" x14ac:dyDescent="0.3">
      <c r="A1234" s="48"/>
      <c r="B1234" s="44"/>
    </row>
    <row r="1235" spans="1:2" x14ac:dyDescent="0.3">
      <c r="A1235" s="48"/>
      <c r="B1235" s="44"/>
    </row>
    <row r="1236" spans="1:2" x14ac:dyDescent="0.3">
      <c r="A1236" s="48"/>
      <c r="B1236" s="44"/>
    </row>
    <row r="1237" spans="1:2" x14ac:dyDescent="0.3">
      <c r="A1237" s="48"/>
      <c r="B1237" s="44"/>
    </row>
    <row r="1238" spans="1:2" x14ac:dyDescent="0.3">
      <c r="A1238" s="48"/>
      <c r="B1238" s="44"/>
    </row>
    <row r="1239" spans="1:2" x14ac:dyDescent="0.3">
      <c r="A1239" s="48"/>
      <c r="B1239" s="44"/>
    </row>
    <row r="1240" spans="1:2" x14ac:dyDescent="0.3">
      <c r="A1240" s="48"/>
      <c r="B1240" s="44"/>
    </row>
    <row r="1241" spans="1:2" x14ac:dyDescent="0.3">
      <c r="A1241" s="48"/>
      <c r="B1241" s="44"/>
    </row>
    <row r="1242" spans="1:2" x14ac:dyDescent="0.3">
      <c r="A1242" s="48"/>
      <c r="B1242" s="44"/>
    </row>
    <row r="1243" spans="1:2" x14ac:dyDescent="0.3">
      <c r="A1243" s="48"/>
      <c r="B1243" s="44"/>
    </row>
    <row r="1244" spans="1:2" x14ac:dyDescent="0.3">
      <c r="A1244" s="48"/>
      <c r="B1244" s="44"/>
    </row>
    <row r="1245" spans="1:2" x14ac:dyDescent="0.3">
      <c r="A1245" s="48"/>
      <c r="B1245" s="44"/>
    </row>
    <row r="1246" spans="1:2" x14ac:dyDescent="0.3">
      <c r="A1246" s="48"/>
      <c r="B1246" s="44"/>
    </row>
    <row r="1247" spans="1:2" x14ac:dyDescent="0.3">
      <c r="A1247" s="48"/>
      <c r="B1247" s="44"/>
    </row>
    <row r="1248" spans="1:2" x14ac:dyDescent="0.3">
      <c r="A1248" s="48"/>
      <c r="B1248" s="44"/>
    </row>
    <row r="1249" spans="1:2" x14ac:dyDescent="0.3">
      <c r="A1249" s="48"/>
      <c r="B1249" s="44"/>
    </row>
    <row r="1250" spans="1:2" x14ac:dyDescent="0.3">
      <c r="A1250" s="48"/>
      <c r="B1250" s="44"/>
    </row>
    <row r="1251" spans="1:2" x14ac:dyDescent="0.3">
      <c r="A1251" s="48"/>
      <c r="B1251" s="44"/>
    </row>
    <row r="1252" spans="1:2" x14ac:dyDescent="0.3">
      <c r="A1252" s="48"/>
      <c r="B1252" s="44"/>
    </row>
    <row r="1253" spans="1:2" x14ac:dyDescent="0.3">
      <c r="A1253" s="48"/>
      <c r="B1253" s="44"/>
    </row>
    <row r="1254" spans="1:2" x14ac:dyDescent="0.3">
      <c r="A1254" s="48"/>
      <c r="B1254" s="44"/>
    </row>
    <row r="1255" spans="1:2" x14ac:dyDescent="0.3">
      <c r="A1255" s="48"/>
      <c r="B1255" s="44"/>
    </row>
    <row r="1256" spans="1:2" x14ac:dyDescent="0.3">
      <c r="A1256" s="48"/>
      <c r="B1256" s="44"/>
    </row>
    <row r="1257" spans="1:2" x14ac:dyDescent="0.3">
      <c r="A1257" s="48"/>
      <c r="B1257" s="44"/>
    </row>
    <row r="1258" spans="1:2" x14ac:dyDescent="0.3">
      <c r="A1258" s="48"/>
      <c r="B1258" s="44"/>
    </row>
    <row r="1259" spans="1:2" x14ac:dyDescent="0.3">
      <c r="A1259" s="48"/>
      <c r="B1259" s="44"/>
    </row>
    <row r="1260" spans="1:2" x14ac:dyDescent="0.3">
      <c r="A1260" s="48"/>
      <c r="B1260" s="44"/>
    </row>
    <row r="1261" spans="1:2" x14ac:dyDescent="0.3">
      <c r="A1261" s="48"/>
      <c r="B1261" s="44"/>
    </row>
    <row r="1262" spans="1:2" x14ac:dyDescent="0.3">
      <c r="A1262" s="48"/>
      <c r="B1262" s="44"/>
    </row>
    <row r="1263" spans="1:2" x14ac:dyDescent="0.3">
      <c r="A1263" s="48"/>
      <c r="B1263" s="44"/>
    </row>
    <row r="1264" spans="1:2" x14ac:dyDescent="0.3">
      <c r="A1264" s="48"/>
      <c r="B1264" s="44"/>
    </row>
    <row r="1265" spans="1:2" x14ac:dyDescent="0.3">
      <c r="A1265" s="48"/>
      <c r="B1265" s="44"/>
    </row>
    <row r="1266" spans="1:2" x14ac:dyDescent="0.3">
      <c r="A1266" s="48"/>
      <c r="B1266" s="44"/>
    </row>
    <row r="1267" spans="1:2" x14ac:dyDescent="0.3">
      <c r="A1267" s="48"/>
      <c r="B1267" s="44"/>
    </row>
    <row r="1268" spans="1:2" x14ac:dyDescent="0.3">
      <c r="A1268" s="48"/>
      <c r="B1268" s="44"/>
    </row>
    <row r="1269" spans="1:2" x14ac:dyDescent="0.3">
      <c r="A1269" s="48"/>
      <c r="B1269" s="44"/>
    </row>
    <row r="1270" spans="1:2" x14ac:dyDescent="0.3">
      <c r="A1270" s="48"/>
      <c r="B1270" s="44"/>
    </row>
    <row r="1271" spans="1:2" x14ac:dyDescent="0.3">
      <c r="A1271" s="48"/>
      <c r="B1271" s="44"/>
    </row>
    <row r="1272" spans="1:2" x14ac:dyDescent="0.3">
      <c r="A1272" s="48"/>
      <c r="B1272" s="44"/>
    </row>
    <row r="1273" spans="1:2" x14ac:dyDescent="0.3">
      <c r="A1273" s="48"/>
      <c r="B1273" s="44"/>
    </row>
    <row r="1274" spans="1:2" x14ac:dyDescent="0.3">
      <c r="A1274" s="48"/>
      <c r="B1274" s="44"/>
    </row>
    <row r="1275" spans="1:2" x14ac:dyDescent="0.3">
      <c r="A1275" s="48"/>
      <c r="B1275" s="44"/>
    </row>
    <row r="1276" spans="1:2" x14ac:dyDescent="0.3">
      <c r="A1276" s="48"/>
      <c r="B1276" s="44"/>
    </row>
    <row r="1277" spans="1:2" x14ac:dyDescent="0.3">
      <c r="A1277" s="48"/>
      <c r="B1277" s="44"/>
    </row>
    <row r="1278" spans="1:2" x14ac:dyDescent="0.3">
      <c r="A1278" s="48"/>
      <c r="B1278" s="44"/>
    </row>
    <row r="1279" spans="1:2" x14ac:dyDescent="0.3">
      <c r="A1279" s="48"/>
      <c r="B1279" s="44"/>
    </row>
    <row r="1280" spans="1:2" x14ac:dyDescent="0.3">
      <c r="A1280" s="48"/>
      <c r="B1280" s="44"/>
    </row>
    <row r="1281" spans="1:2" x14ac:dyDescent="0.3">
      <c r="A1281" s="48"/>
      <c r="B1281" s="44"/>
    </row>
    <row r="1282" spans="1:2" x14ac:dyDescent="0.3">
      <c r="A1282" s="48"/>
      <c r="B1282" s="44"/>
    </row>
    <row r="1283" spans="1:2" x14ac:dyDescent="0.3">
      <c r="A1283" s="48"/>
      <c r="B1283" s="44"/>
    </row>
    <row r="1284" spans="1:2" x14ac:dyDescent="0.3">
      <c r="A1284" s="48"/>
      <c r="B1284" s="44"/>
    </row>
    <row r="1285" spans="1:2" x14ac:dyDescent="0.3">
      <c r="A1285" s="48"/>
      <c r="B1285" s="44"/>
    </row>
    <row r="1286" spans="1:2" x14ac:dyDescent="0.3">
      <c r="A1286" s="48"/>
      <c r="B1286" s="44"/>
    </row>
    <row r="1287" spans="1:2" x14ac:dyDescent="0.3">
      <c r="A1287" s="48"/>
      <c r="B1287" s="44"/>
    </row>
    <row r="1288" spans="1:2" x14ac:dyDescent="0.3">
      <c r="A1288" s="48"/>
      <c r="B1288" s="44"/>
    </row>
    <row r="1289" spans="1:2" x14ac:dyDescent="0.3">
      <c r="A1289" s="48"/>
      <c r="B1289" s="44"/>
    </row>
    <row r="1290" spans="1:2" x14ac:dyDescent="0.3">
      <c r="A1290" s="48"/>
      <c r="B1290" s="44"/>
    </row>
    <row r="1291" spans="1:2" x14ac:dyDescent="0.3">
      <c r="A1291" s="48"/>
      <c r="B1291" s="44"/>
    </row>
    <row r="1292" spans="1:2" x14ac:dyDescent="0.3">
      <c r="A1292" s="48"/>
      <c r="B1292" s="44"/>
    </row>
    <row r="1293" spans="1:2" x14ac:dyDescent="0.3">
      <c r="A1293" s="48"/>
      <c r="B1293" s="44"/>
    </row>
    <row r="1294" spans="1:2" x14ac:dyDescent="0.3">
      <c r="A1294" s="48"/>
      <c r="B1294" s="44"/>
    </row>
    <row r="1295" spans="1:2" x14ac:dyDescent="0.3">
      <c r="A1295" s="48"/>
      <c r="B1295" s="44"/>
    </row>
    <row r="1296" spans="1:2" x14ac:dyDescent="0.3">
      <c r="A1296" s="48"/>
      <c r="B1296" s="44"/>
    </row>
    <row r="1297" spans="1:2" x14ac:dyDescent="0.3">
      <c r="A1297" s="48"/>
      <c r="B1297" s="44"/>
    </row>
    <row r="1298" spans="1:2" x14ac:dyDescent="0.3">
      <c r="A1298" s="48"/>
      <c r="B1298" s="44"/>
    </row>
    <row r="1299" spans="1:2" x14ac:dyDescent="0.3">
      <c r="A1299" s="48"/>
      <c r="B1299" s="44"/>
    </row>
    <row r="1300" spans="1:2" x14ac:dyDescent="0.3">
      <c r="A1300" s="48"/>
      <c r="B1300" s="44"/>
    </row>
    <row r="1301" spans="1:2" x14ac:dyDescent="0.3">
      <c r="A1301" s="48"/>
      <c r="B1301" s="44"/>
    </row>
    <row r="1302" spans="1:2" x14ac:dyDescent="0.3">
      <c r="A1302" s="48"/>
      <c r="B1302" s="44"/>
    </row>
    <row r="1303" spans="1:2" x14ac:dyDescent="0.3">
      <c r="A1303" s="48"/>
      <c r="B1303" s="44"/>
    </row>
    <row r="1304" spans="1:2" x14ac:dyDescent="0.3">
      <c r="A1304" s="48"/>
      <c r="B1304" s="44"/>
    </row>
    <row r="1305" spans="1:2" x14ac:dyDescent="0.3">
      <c r="A1305" s="48"/>
      <c r="B1305" s="44"/>
    </row>
    <row r="1306" spans="1:2" x14ac:dyDescent="0.3">
      <c r="A1306" s="48"/>
      <c r="B1306" s="44"/>
    </row>
    <row r="1307" spans="1:2" x14ac:dyDescent="0.3">
      <c r="A1307" s="48"/>
      <c r="B1307" s="44"/>
    </row>
    <row r="1308" spans="1:2" x14ac:dyDescent="0.3">
      <c r="A1308" s="48"/>
      <c r="B1308" s="44"/>
    </row>
    <row r="1309" spans="1:2" x14ac:dyDescent="0.3">
      <c r="A1309" s="48"/>
      <c r="B1309" s="44"/>
    </row>
    <row r="1310" spans="1:2" x14ac:dyDescent="0.3">
      <c r="A1310" s="48"/>
      <c r="B1310" s="44"/>
    </row>
    <row r="1311" spans="1:2" x14ac:dyDescent="0.3">
      <c r="A1311" s="48"/>
      <c r="B1311" s="44"/>
    </row>
    <row r="1312" spans="1:2" x14ac:dyDescent="0.3">
      <c r="A1312" s="48"/>
      <c r="B1312" s="44"/>
    </row>
    <row r="1313" spans="1:2" x14ac:dyDescent="0.3">
      <c r="A1313" s="48"/>
      <c r="B1313" s="44"/>
    </row>
    <row r="1314" spans="1:2" x14ac:dyDescent="0.3">
      <c r="A1314" s="49"/>
      <c r="B1314" s="4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8"/>
  <sheetViews>
    <sheetView showGridLines="0" tabSelected="1" topLeftCell="B28" workbookViewId="0">
      <selection activeCell="B38" sqref="B38"/>
    </sheetView>
  </sheetViews>
  <sheetFormatPr defaultRowHeight="16.5" x14ac:dyDescent="0.3"/>
  <cols>
    <col min="1" max="1" width="46.42578125" style="2" bestFit="1" customWidth="1"/>
    <col min="2" max="2" width="34.140625" style="2" customWidth="1"/>
    <col min="3" max="3" width="33.7109375" style="2" customWidth="1"/>
    <col min="4" max="4" width="18.7109375" style="13" bestFit="1" customWidth="1"/>
    <col min="5" max="5" width="21.85546875" style="2" bestFit="1" customWidth="1"/>
    <col min="6" max="6" width="17.7109375" style="2" customWidth="1"/>
    <col min="7" max="7" width="16.85546875" style="2" bestFit="1" customWidth="1"/>
    <col min="8" max="8" width="15.7109375" style="2" customWidth="1"/>
    <col min="9" max="16384" width="9.140625" style="2"/>
  </cols>
  <sheetData>
    <row r="1" spans="1:7" x14ac:dyDescent="0.3">
      <c r="A1" s="1" t="s">
        <v>112</v>
      </c>
      <c r="B1" s="55" t="s">
        <v>113</v>
      </c>
      <c r="C1" s="55" t="s">
        <v>64</v>
      </c>
      <c r="E1" s="55" t="s">
        <v>65</v>
      </c>
      <c r="F1" s="58" t="s">
        <v>35</v>
      </c>
      <c r="G1" s="57" t="s">
        <v>114</v>
      </c>
    </row>
    <row r="2" spans="1:7" x14ac:dyDescent="0.3">
      <c r="B2" s="52" t="str">
        <f>_xll.CALShiborSwap(组合!B3,组合!C5,组合!C6,组合!C7,组合!C8,组合!C9,组合!C10,组合!C11,组合!C12,,,TRUE)</f>
        <v>ShiborSwap-3Y-5.7159%</v>
      </c>
      <c r="C2" s="52">
        <v>100</v>
      </c>
      <c r="D2" s="29" t="b">
        <f>_xll.CALInstrumentSetPricingEngine(B2,B3)</f>
        <v>1</v>
      </c>
      <c r="E2" s="18" t="s">
        <v>37</v>
      </c>
      <c r="F2" s="59">
        <f t="array" ref="F2:G15">_xll.CALBucketAnalysis(基准互换曲线!$F$6:$F$19,风险评估!B2,C2,0.0001,,D2)</f>
        <v>-3.0669911055269949E-9</v>
      </c>
      <c r="G2" s="62">
        <v>6.1256555383693012E-4</v>
      </c>
    </row>
    <row r="3" spans="1:7" x14ac:dyDescent="0.3">
      <c r="B3" s="66" t="str">
        <f>_xll.CALDiscountingSwapEngine("DiscountSwapPricing",基准互换曲线!C25,,,,,,TRUE)</f>
        <v>DiscountSwapPricing</v>
      </c>
      <c r="C3" s="13"/>
      <c r="E3" s="29" t="s">
        <v>39</v>
      </c>
      <c r="F3" s="60">
        <v>0</v>
      </c>
      <c r="G3" s="63">
        <v>5.5011550870176507E-4</v>
      </c>
    </row>
    <row r="4" spans="1:7" x14ac:dyDescent="0.3">
      <c r="B4" s="13"/>
      <c r="C4" s="13"/>
      <c r="E4" s="29" t="s">
        <v>41</v>
      </c>
      <c r="F4" s="60">
        <v>0</v>
      </c>
      <c r="G4" s="63">
        <v>5.5011550870176507E-4</v>
      </c>
    </row>
    <row r="5" spans="1:7" x14ac:dyDescent="0.3">
      <c r="E5" s="29" t="s">
        <v>43</v>
      </c>
      <c r="F5" s="60">
        <v>0</v>
      </c>
      <c r="G5" s="63">
        <v>5.5011550870176507E-4</v>
      </c>
    </row>
    <row r="6" spans="1:7" x14ac:dyDescent="0.3">
      <c r="E6" s="29" t="s">
        <v>45</v>
      </c>
      <c r="F6" s="60">
        <v>-4.8988590961585032E-9</v>
      </c>
      <c r="G6" s="63">
        <v>6.7085226262975084E-4</v>
      </c>
    </row>
    <row r="7" spans="1:7" x14ac:dyDescent="0.3">
      <c r="C7" s="2" t="str">
        <f>_xll.ohRangeRetrieveError(F3)</f>
        <v/>
      </c>
      <c r="E7" s="29" t="s">
        <v>47</v>
      </c>
      <c r="F7" s="60">
        <v>-1.1698975121987587E-8</v>
      </c>
      <c r="G7" s="63">
        <v>1.3275491816955309E-3</v>
      </c>
    </row>
    <row r="8" spans="1:7" x14ac:dyDescent="0.3">
      <c r="C8" s="2" t="str">
        <f>_xll.ohRangeRetrieveError(F2)</f>
        <v/>
      </c>
      <c r="E8" s="29" t="s">
        <v>49</v>
      </c>
      <c r="F8" s="60">
        <v>-2.0011770018868447E-8</v>
      </c>
      <c r="G8" s="63">
        <v>2.5951463200613034E-3</v>
      </c>
    </row>
    <row r="9" spans="1:7" x14ac:dyDescent="0.3">
      <c r="E9" s="29" t="s">
        <v>51</v>
      </c>
      <c r="F9" s="60">
        <v>2.9781732635569824E-7</v>
      </c>
      <c r="G9" s="63">
        <v>6.4637184493676614E-3</v>
      </c>
    </row>
    <row r="10" spans="1:7" x14ac:dyDescent="0.3">
      <c r="E10" s="29" t="s">
        <v>53</v>
      </c>
      <c r="F10" s="60">
        <v>2.7755575615628914E-10</v>
      </c>
      <c r="G10" s="63">
        <v>5.0626169922907138E-4</v>
      </c>
    </row>
    <row r="11" spans="1:7" x14ac:dyDescent="0.3">
      <c r="E11" s="29" t="s">
        <v>55</v>
      </c>
      <c r="F11" s="60">
        <v>274.36369907506139</v>
      </c>
      <c r="G11" s="63">
        <v>-337.53789346890881</v>
      </c>
    </row>
    <row r="12" spans="1:7" x14ac:dyDescent="0.3">
      <c r="E12" s="29" t="s">
        <v>57</v>
      </c>
      <c r="F12" s="60">
        <v>0</v>
      </c>
      <c r="G12" s="63">
        <v>5.5511151231257827E-7</v>
      </c>
    </row>
    <row r="13" spans="1:7" x14ac:dyDescent="0.3">
      <c r="E13" s="29" t="s">
        <v>59</v>
      </c>
      <c r="F13" s="60">
        <v>0</v>
      </c>
      <c r="G13" s="63">
        <v>5.5511151231257827E-7</v>
      </c>
    </row>
    <row r="14" spans="1:7" x14ac:dyDescent="0.3">
      <c r="E14" s="29" t="s">
        <v>61</v>
      </c>
      <c r="F14" s="60">
        <v>0</v>
      </c>
      <c r="G14" s="63">
        <v>5.5511151231257827E-7</v>
      </c>
    </row>
    <row r="15" spans="1:7" x14ac:dyDescent="0.3">
      <c r="E15" s="31" t="s">
        <v>63</v>
      </c>
      <c r="F15" s="61">
        <v>0</v>
      </c>
      <c r="G15" s="64">
        <v>5.5511151231257827E-7</v>
      </c>
    </row>
    <row r="18" spans="1:7" x14ac:dyDescent="0.3">
      <c r="A18" s="1" t="s">
        <v>111</v>
      </c>
      <c r="B18" s="55" t="s">
        <v>113</v>
      </c>
      <c r="C18" s="55" t="s">
        <v>64</v>
      </c>
      <c r="E18" s="55" t="s">
        <v>65</v>
      </c>
      <c r="F18" s="58" t="s">
        <v>35</v>
      </c>
      <c r="G18" s="57" t="s">
        <v>114</v>
      </c>
    </row>
    <row r="19" spans="1:7" x14ac:dyDescent="0.3">
      <c r="B19" s="31" t="str">
        <f>_xll.CALShiborSwap(组合!E3,组合!F5,组合!F6,组合!F7,组合!F8,组合!F9,组合!F10,组合!F11,组合!F12,,,TRUE)</f>
        <v>ShiborSwap-6Y-5.7414%</v>
      </c>
      <c r="C19" s="20">
        <v>100</v>
      </c>
      <c r="D19" s="13" t="b">
        <f>_xll.CALInstrumentSetPricingEngine(B19,B3)</f>
        <v>1</v>
      </c>
      <c r="E19" s="30" t="s">
        <v>36</v>
      </c>
      <c r="F19" s="59">
        <f t="array" ref="F19:G32">_xll.CALBucketAnalysis(基准互换曲线!$F$6:$F$19,风险评估!B19,C19,0.0001,,D19)</f>
        <v>5.6300517026208752E-4</v>
      </c>
      <c r="G19" s="62">
        <v>5.8342219944051976E-4</v>
      </c>
    </row>
    <row r="20" spans="1:7" x14ac:dyDescent="0.3">
      <c r="E20" s="29" t="s">
        <v>38</v>
      </c>
      <c r="F20" s="60">
        <v>0</v>
      </c>
      <c r="G20" s="63">
        <v>5.7065463465733046E-4</v>
      </c>
    </row>
    <row r="21" spans="1:7" x14ac:dyDescent="0.3">
      <c r="B21" s="13"/>
      <c r="C21" s="13"/>
      <c r="E21" s="29" t="s">
        <v>40</v>
      </c>
      <c r="F21" s="60">
        <v>0</v>
      </c>
      <c r="G21" s="63">
        <v>5.7065463465733046E-4</v>
      </c>
    </row>
    <row r="22" spans="1:7" x14ac:dyDescent="0.3">
      <c r="E22" s="29" t="s">
        <v>42</v>
      </c>
      <c r="F22" s="60">
        <v>0</v>
      </c>
      <c r="G22" s="63">
        <v>5.7065463465733046E-4</v>
      </c>
    </row>
    <row r="23" spans="1:7" x14ac:dyDescent="0.3">
      <c r="E23" s="29" t="s">
        <v>44</v>
      </c>
      <c r="F23" s="60">
        <v>4.4905457130539617E-4</v>
      </c>
      <c r="G23" s="63">
        <v>3.8746783559417963E-4</v>
      </c>
    </row>
    <row r="24" spans="1:7" x14ac:dyDescent="0.3">
      <c r="E24" s="29" t="s">
        <v>46</v>
      </c>
      <c r="F24" s="60">
        <v>9.0678928255094604E-4</v>
      </c>
      <c r="G24" s="63">
        <v>3.5804692544161298E-4</v>
      </c>
    </row>
    <row r="25" spans="1:7" x14ac:dyDescent="0.3">
      <c r="E25" s="29" t="s">
        <v>48</v>
      </c>
      <c r="F25" s="60">
        <v>1.3922563935064858E-3</v>
      </c>
      <c r="G25" s="63">
        <v>5.0015547259363302E-4</v>
      </c>
    </row>
    <row r="26" spans="1:7" x14ac:dyDescent="0.3">
      <c r="E26" s="29" t="s">
        <v>50</v>
      </c>
      <c r="F26" s="60">
        <v>4.6968771927335951E-3</v>
      </c>
      <c r="G26" s="63">
        <v>5.5661031339582223E-3</v>
      </c>
    </row>
    <row r="27" spans="1:7" x14ac:dyDescent="0.3">
      <c r="E27" s="29" t="s">
        <v>52</v>
      </c>
      <c r="F27" s="60">
        <v>1.5339927050828095E-2</v>
      </c>
      <c r="G27" s="63">
        <v>-8.1890050296351546E-3</v>
      </c>
    </row>
    <row r="28" spans="1:7" x14ac:dyDescent="0.3">
      <c r="E28" s="29" t="s">
        <v>54</v>
      </c>
      <c r="F28" s="60">
        <v>2.3739264165545393E-2</v>
      </c>
      <c r="G28" s="63">
        <v>-4.6584958113271568E-3</v>
      </c>
    </row>
    <row r="29" spans="1:7" x14ac:dyDescent="0.3">
      <c r="E29" s="29" t="s">
        <v>56</v>
      </c>
      <c r="F29" s="60">
        <v>3.2425380325218356E-2</v>
      </c>
      <c r="G29" s="63">
        <v>6.0107474553205975E-3</v>
      </c>
    </row>
    <row r="30" spans="1:7" x14ac:dyDescent="0.3">
      <c r="E30" s="29" t="s">
        <v>58</v>
      </c>
      <c r="F30" s="60">
        <v>320.4899200782707</v>
      </c>
      <c r="G30" s="63">
        <v>103.39776590484462</v>
      </c>
    </row>
    <row r="31" spans="1:7" x14ac:dyDescent="0.3">
      <c r="E31" s="29" t="s">
        <v>60</v>
      </c>
      <c r="F31" s="60">
        <v>148.43714938658769</v>
      </c>
      <c r="G31" s="63">
        <v>550.90180028916075</v>
      </c>
    </row>
    <row r="32" spans="1:7" x14ac:dyDescent="0.3">
      <c r="E32" s="31" t="s">
        <v>62</v>
      </c>
      <c r="F32" s="61">
        <v>0</v>
      </c>
      <c r="G32" s="64">
        <v>-1.1102230246251565E-6</v>
      </c>
    </row>
    <row r="34" spans="1:7" x14ac:dyDescent="0.3">
      <c r="A34" s="1" t="s">
        <v>110</v>
      </c>
      <c r="B34" s="55" t="s">
        <v>66</v>
      </c>
      <c r="C34" s="55" t="s">
        <v>64</v>
      </c>
      <c r="E34" s="55" t="s">
        <v>65</v>
      </c>
      <c r="F34" s="58" t="s">
        <v>115</v>
      </c>
      <c r="G34" s="57" t="s">
        <v>116</v>
      </c>
    </row>
    <row r="35" spans="1:7" x14ac:dyDescent="0.3">
      <c r="B35" s="29" t="str">
        <f>_xll.CALShiborSwap(组合!H3,组合!I5,组合!I6,组合!I7,组合!I8,组合!I9,组合!I10,组合!I11,组合!I12,,,TRUE)</f>
        <v>ShiborSwap-7Y-5.7608%</v>
      </c>
      <c r="C35" s="29">
        <v>100</v>
      </c>
      <c r="D35" s="13" t="b">
        <f>_xll.CALInstrumentSetPricingEngine(B35,$B$3)</f>
        <v>1</v>
      </c>
      <c r="E35" s="30" t="s">
        <v>36</v>
      </c>
      <c r="F35" s="59">
        <f t="array" ref="F35:G48">_xll.CALBucketAnalysis(基准互换曲线!$F$6:$F$19,B35:B37,C35:C37,0.0001,,D37)</f>
        <v>-1.8755632140710077</v>
      </c>
      <c r="G35" s="62">
        <v>1.2096279533579946E-2</v>
      </c>
    </row>
    <row r="36" spans="1:7" x14ac:dyDescent="0.3">
      <c r="B36" s="29" t="str">
        <f>_xll.CALCTBFixedBond(组合!H14,,组合!I16,组合!I28,组合!I20,组合!I18,组合!I17,组合!I19,组合!I21,组合!I22,组合!I23,,组合!I24,组合!I25,组合!I26,,组合!I27,组合!I29,,,,,TRUE)</f>
        <v>CTBFixedBond-5Y-5.0000%</v>
      </c>
      <c r="C36" s="19">
        <v>200</v>
      </c>
      <c r="D36" s="13" t="b">
        <f>_xll.CALInstrumentSetPricingEngine(B36,$B$38)</f>
        <v>1</v>
      </c>
      <c r="E36" s="29" t="s">
        <v>38</v>
      </c>
      <c r="F36" s="60">
        <v>-9.7053649028566724E-2</v>
      </c>
      <c r="G36" s="63">
        <v>5.4228621593210846E-3</v>
      </c>
    </row>
    <row r="37" spans="1:7" x14ac:dyDescent="0.3">
      <c r="B37" s="31" t="str">
        <f>_xll.CALCTBZeroBond(组合!K14,,组合!L16,组合!L20,组合!L22,组合!L18,组合!L23,组合!L25,组合!L21,组合!L19,组合!L24,组合!L26,,,TRUE)</f>
        <v>CTBZeroBond-5Y</v>
      </c>
      <c r="C37" s="20">
        <v>500</v>
      </c>
      <c r="D37" s="13" t="b">
        <f>_xll.CALInstrumentSetPricingEngine(B37,$B$38)</f>
        <v>1</v>
      </c>
      <c r="E37" s="29" t="s">
        <v>40</v>
      </c>
      <c r="F37" s="60">
        <v>0</v>
      </c>
      <c r="G37" s="63">
        <v>1.5234036254696548E-3</v>
      </c>
    </row>
    <row r="38" spans="1:7" x14ac:dyDescent="0.3">
      <c r="B38" s="65" t="str">
        <f>_xll.CALBondEngine("BondEngine",基准互换曲线!$C$25,,,TRUE)</f>
        <v>BondEngine</v>
      </c>
      <c r="E38" s="29" t="s">
        <v>42</v>
      </c>
      <c r="F38" s="60">
        <v>0</v>
      </c>
      <c r="G38" s="63">
        <v>1.5234036254696548E-3</v>
      </c>
    </row>
    <row r="39" spans="1:7" x14ac:dyDescent="0.3">
      <c r="E39" s="29" t="s">
        <v>44</v>
      </c>
      <c r="F39" s="60">
        <v>2.3245470202937213</v>
      </c>
      <c r="G39" s="63">
        <v>-1.1442466529842932</v>
      </c>
    </row>
    <row r="40" spans="1:7" x14ac:dyDescent="0.3">
      <c r="E40" s="29" t="s">
        <v>46</v>
      </c>
      <c r="F40" s="60">
        <v>2.453158717230508</v>
      </c>
      <c r="G40" s="63">
        <v>-1.2863097254012246</v>
      </c>
    </row>
    <row r="41" spans="1:7" x14ac:dyDescent="0.3">
      <c r="E41" s="29" t="s">
        <v>48</v>
      </c>
      <c r="F41" s="60">
        <v>6.8788647445217066</v>
      </c>
      <c r="G41" s="63">
        <v>-3.5987568480777554</v>
      </c>
    </row>
    <row r="42" spans="1:7" x14ac:dyDescent="0.3">
      <c r="E42" s="29" t="s">
        <v>50</v>
      </c>
      <c r="F42" s="60">
        <v>-656.90799914477793</v>
      </c>
      <c r="G42" s="63">
        <v>312.96153792936821</v>
      </c>
    </row>
    <row r="43" spans="1:7" x14ac:dyDescent="0.3">
      <c r="E43" s="29" t="s">
        <v>52</v>
      </c>
      <c r="F43" s="60">
        <v>-25.899806700522277</v>
      </c>
      <c r="G43" s="63">
        <v>-19.400374640099471</v>
      </c>
    </row>
    <row r="44" spans="1:7" x14ac:dyDescent="0.3">
      <c r="E44" s="29" t="s">
        <v>54</v>
      </c>
      <c r="F44" s="60">
        <v>5.6843418860808015E-10</v>
      </c>
      <c r="G44" s="63">
        <v>1.5120349416974932E-3</v>
      </c>
    </row>
    <row r="45" spans="1:7" x14ac:dyDescent="0.3">
      <c r="E45" s="29" t="s">
        <v>56</v>
      </c>
      <c r="F45" s="60">
        <v>0</v>
      </c>
      <c r="G45" s="63">
        <v>1.5006662579253316E-3</v>
      </c>
    </row>
    <row r="46" spans="1:7" x14ac:dyDescent="0.3">
      <c r="E46" s="29" t="s">
        <v>58</v>
      </c>
      <c r="F46" s="60">
        <v>0</v>
      </c>
      <c r="G46" s="63">
        <v>1.5006662579253316E-3</v>
      </c>
    </row>
    <row r="47" spans="1:7" x14ac:dyDescent="0.3">
      <c r="E47" s="29" t="s">
        <v>60</v>
      </c>
      <c r="F47" s="60">
        <v>573.59547523049059</v>
      </c>
      <c r="G47" s="63">
        <v>-1253.4854590739997</v>
      </c>
    </row>
    <row r="48" spans="1:7" x14ac:dyDescent="0.3">
      <c r="E48" s="31" t="s">
        <v>62</v>
      </c>
      <c r="F48" s="61">
        <v>0</v>
      </c>
      <c r="G48" s="64">
        <v>4.5474735088646412E-5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基准互换曲线</vt:lpstr>
      <vt:lpstr>组合</vt:lpstr>
      <vt:lpstr>历史重置水平</vt:lpstr>
      <vt:lpstr>风险评估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wegamekinglc</dc:creator>
  <cp:lastModifiedBy>cheng.li</cp:lastModifiedBy>
  <dcterms:created xsi:type="dcterms:W3CDTF">2014-01-14T12:38:13Z</dcterms:created>
  <dcterms:modified xsi:type="dcterms:W3CDTF">2014-05-22T07:12:49Z</dcterms:modified>
</cp:coreProperties>
</file>