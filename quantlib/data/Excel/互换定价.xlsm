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ev\fi\silver\quantlib\data\Excel\"/>
    </mc:Choice>
  </mc:AlternateContent>
  <bookViews>
    <workbookView xWindow="10230" yWindow="0" windowWidth="19560" windowHeight="8295" activeTab="1"/>
  </bookViews>
  <sheets>
    <sheet name="ShiborSwap" sheetId="1" r:id="rId1"/>
    <sheet name="FR007Swap" sheetId="3" r:id="rId2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1" i="1" l="1" a="1"/>
  <c r="F5" i="1"/>
  <c r="F6" i="1"/>
  <c r="D40" i="3" a="1"/>
  <c r="D18" i="3" a="1"/>
  <c r="B23" i="3"/>
  <c r="B22" i="3"/>
  <c r="B21" i="3"/>
  <c r="B20" i="3"/>
  <c r="B19" i="3"/>
  <c r="B18" i="3"/>
  <c r="E13" i="3"/>
  <c r="E12" i="3"/>
  <c r="B13" i="3"/>
  <c r="G3" i="3"/>
  <c r="G2" i="3"/>
  <c r="F3" i="3"/>
  <c r="F2" i="3"/>
  <c r="F6" i="3"/>
  <c r="F5" i="3"/>
  <c r="B1" i="3"/>
  <c r="D18" i="1" a="1"/>
  <c r="B23" i="1"/>
  <c r="B22" i="1"/>
  <c r="B21" i="1"/>
  <c r="B20" i="1"/>
  <c r="B19" i="1"/>
  <c r="B18" i="1"/>
  <c r="E13" i="1"/>
  <c r="B13" i="1"/>
  <c r="G3" i="1"/>
  <c r="G2" i="1"/>
  <c r="F3" i="1"/>
  <c r="F2" i="1"/>
  <c r="B1" i="1"/>
  <c r="B25" i="3"/>
  <c r="B12" i="3"/>
  <c r="B25" i="1"/>
  <c r="E12" i="1"/>
  <c r="B15" i="3"/>
  <c r="D41" i="1" l="1"/>
  <c r="H41" i="1"/>
  <c r="L41" i="1"/>
  <c r="D42" i="1"/>
  <c r="H42" i="1"/>
  <c r="L42" i="1"/>
  <c r="D43" i="1"/>
  <c r="H43" i="1"/>
  <c r="L43" i="1"/>
  <c r="D44" i="1"/>
  <c r="H44" i="1"/>
  <c r="L44" i="1"/>
  <c r="D45" i="1"/>
  <c r="H45" i="1"/>
  <c r="L45" i="1"/>
  <c r="D46" i="1"/>
  <c r="H46" i="1"/>
  <c r="L46" i="1"/>
  <c r="D47" i="1"/>
  <c r="H47" i="1"/>
  <c r="L47" i="1"/>
  <c r="D48" i="1"/>
  <c r="H48" i="1"/>
  <c r="L48" i="1"/>
  <c r="D49" i="1"/>
  <c r="H49" i="1"/>
  <c r="L49" i="1"/>
  <c r="D50" i="1"/>
  <c r="H50" i="1"/>
  <c r="L50" i="1"/>
  <c r="D51" i="1"/>
  <c r="H51" i="1"/>
  <c r="L51" i="1"/>
  <c r="D52" i="1"/>
  <c r="H52" i="1"/>
  <c r="L52" i="1"/>
  <c r="D53" i="1"/>
  <c r="H53" i="1"/>
  <c r="L53" i="1"/>
  <c r="D54" i="1"/>
  <c r="H54" i="1"/>
  <c r="L54" i="1"/>
  <c r="D55" i="1"/>
  <c r="H55" i="1"/>
  <c r="L55" i="1"/>
  <c r="D56" i="1"/>
  <c r="H56" i="1"/>
  <c r="L56" i="1"/>
  <c r="D57" i="1"/>
  <c r="H57" i="1"/>
  <c r="L57" i="1"/>
  <c r="D58" i="1"/>
  <c r="H58" i="1"/>
  <c r="L58" i="1"/>
  <c r="D59" i="1"/>
  <c r="H59" i="1"/>
  <c r="L59" i="1"/>
  <c r="D60" i="1"/>
  <c r="H60" i="1"/>
  <c r="L60" i="1"/>
  <c r="D61" i="1"/>
  <c r="H61" i="1"/>
  <c r="L61" i="1"/>
  <c r="E41" i="1"/>
  <c r="I41" i="1"/>
  <c r="M41" i="1"/>
  <c r="E42" i="1"/>
  <c r="I42" i="1"/>
  <c r="M42" i="1"/>
  <c r="E43" i="1"/>
  <c r="I43" i="1"/>
  <c r="M43" i="1"/>
  <c r="E44" i="1"/>
  <c r="I44" i="1"/>
  <c r="M44" i="1"/>
  <c r="E45" i="1"/>
  <c r="I45" i="1"/>
  <c r="M45" i="1"/>
  <c r="E46" i="1"/>
  <c r="I46" i="1"/>
  <c r="M46" i="1"/>
  <c r="E47" i="1"/>
  <c r="I47" i="1"/>
  <c r="M47" i="1"/>
  <c r="E48" i="1"/>
  <c r="J41" i="1"/>
  <c r="F42" i="1"/>
  <c r="N42" i="1"/>
  <c r="J43" i="1"/>
  <c r="F44" i="1"/>
  <c r="N44" i="1"/>
  <c r="J45" i="1"/>
  <c r="F46" i="1"/>
  <c r="N46" i="1"/>
  <c r="J47" i="1"/>
  <c r="F48" i="1"/>
  <c r="K48" i="1"/>
  <c r="E49" i="1"/>
  <c r="J49" i="1"/>
  <c r="O49" i="1"/>
  <c r="I50" i="1"/>
  <c r="N50" i="1"/>
  <c r="G51" i="1"/>
  <c r="M51" i="1"/>
  <c r="F52" i="1"/>
  <c r="K52" i="1"/>
  <c r="E53" i="1"/>
  <c r="J53" i="1"/>
  <c r="O53" i="1"/>
  <c r="I54" i="1"/>
  <c r="N54" i="1"/>
  <c r="G55" i="1"/>
  <c r="M55" i="1"/>
  <c r="F56" i="1"/>
  <c r="K56" i="1"/>
  <c r="E57" i="1"/>
  <c r="J57" i="1"/>
  <c r="O57" i="1"/>
  <c r="I58" i="1"/>
  <c r="N58" i="1"/>
  <c r="G59" i="1"/>
  <c r="M59" i="1"/>
  <c r="F60" i="1"/>
  <c r="K60" i="1"/>
  <c r="E61" i="1"/>
  <c r="J61" i="1"/>
  <c r="O61" i="1"/>
  <c r="K41" i="1"/>
  <c r="G42" i="1"/>
  <c r="O42" i="1"/>
  <c r="K43" i="1"/>
  <c r="G44" i="1"/>
  <c r="O44" i="1"/>
  <c r="K45" i="1"/>
  <c r="G46" i="1"/>
  <c r="O46" i="1"/>
  <c r="K47" i="1"/>
  <c r="G48" i="1"/>
  <c r="M48" i="1"/>
  <c r="F49" i="1"/>
  <c r="K49" i="1"/>
  <c r="E50" i="1"/>
  <c r="J50" i="1"/>
  <c r="O50" i="1"/>
  <c r="I51" i="1"/>
  <c r="N51" i="1"/>
  <c r="G52" i="1"/>
  <c r="M52" i="1"/>
  <c r="F53" i="1"/>
  <c r="K53" i="1"/>
  <c r="E54" i="1"/>
  <c r="J54" i="1"/>
  <c r="O54" i="1"/>
  <c r="I55" i="1"/>
  <c r="N55" i="1"/>
  <c r="G56" i="1"/>
  <c r="M56" i="1"/>
  <c r="F57" i="1"/>
  <c r="K57" i="1"/>
  <c r="E58" i="1"/>
  <c r="J58" i="1"/>
  <c r="O58" i="1"/>
  <c r="I59" i="1"/>
  <c r="N59" i="1"/>
  <c r="G60" i="1"/>
  <c r="M60" i="1"/>
  <c r="F61" i="1"/>
  <c r="K61" i="1"/>
  <c r="F41" i="1"/>
  <c r="G41" i="1"/>
  <c r="K42" i="1"/>
  <c r="O43" i="1"/>
  <c r="G45" i="1"/>
  <c r="K46" i="1"/>
  <c r="O47" i="1"/>
  <c r="O48" i="1"/>
  <c r="N49" i="1"/>
  <c r="M50" i="1"/>
  <c r="K51" i="1"/>
  <c r="J52" i="1"/>
  <c r="I53" i="1"/>
  <c r="G54" i="1"/>
  <c r="F55" i="1"/>
  <c r="E56" i="1"/>
  <c r="O56" i="1"/>
  <c r="N57" i="1"/>
  <c r="M58" i="1"/>
  <c r="K59" i="1"/>
  <c r="J60" i="1"/>
  <c r="I61" i="1"/>
  <c r="N41" i="1"/>
  <c r="F43" i="1"/>
  <c r="J44" i="1"/>
  <c r="N45" i="1"/>
  <c r="F47" i="1"/>
  <c r="I48" i="1"/>
  <c r="G49" i="1"/>
  <c r="F50" i="1"/>
  <c r="E51" i="1"/>
  <c r="O51" i="1"/>
  <c r="N52" i="1"/>
  <c r="M53" i="1"/>
  <c r="K54" i="1"/>
  <c r="J55" i="1"/>
  <c r="I56" i="1"/>
  <c r="G57" i="1"/>
  <c r="F58" i="1"/>
  <c r="E59" i="1"/>
  <c r="O59" i="1"/>
  <c r="N60" i="1"/>
  <c r="M61" i="1"/>
  <c r="O41" i="1"/>
  <c r="G43" i="1"/>
  <c r="K44" i="1"/>
  <c r="O45" i="1"/>
  <c r="G47" i="1"/>
  <c r="J48" i="1"/>
  <c r="I49" i="1"/>
  <c r="G50" i="1"/>
  <c r="F51" i="1"/>
  <c r="E52" i="1"/>
  <c r="O52" i="1"/>
  <c r="N53" i="1"/>
  <c r="M54" i="1"/>
  <c r="K55" i="1"/>
  <c r="J56" i="1"/>
  <c r="I57" i="1"/>
  <c r="G58" i="1"/>
  <c r="F59" i="1"/>
  <c r="E60" i="1"/>
  <c r="O60" i="1"/>
  <c r="N61" i="1"/>
  <c r="J42" i="1"/>
  <c r="N43" i="1"/>
  <c r="F45" i="1"/>
  <c r="J46" i="1"/>
  <c r="N47" i="1"/>
  <c r="N48" i="1"/>
  <c r="M49" i="1"/>
  <c r="K50" i="1"/>
  <c r="J51" i="1"/>
  <c r="I52" i="1"/>
  <c r="G53" i="1"/>
  <c r="F54" i="1"/>
  <c r="E55" i="1"/>
  <c r="O55" i="1"/>
  <c r="N56" i="1"/>
  <c r="M57" i="1"/>
  <c r="K58" i="1"/>
  <c r="J59" i="1"/>
  <c r="I60" i="1"/>
  <c r="G61" i="1"/>
  <c r="G40" i="3"/>
  <c r="K40" i="3"/>
  <c r="O40" i="3"/>
  <c r="G41" i="3"/>
  <c r="K41" i="3"/>
  <c r="O41" i="3"/>
  <c r="G42" i="3"/>
  <c r="K42" i="3"/>
  <c r="O42" i="3"/>
  <c r="G43" i="3"/>
  <c r="K43" i="3"/>
  <c r="O43" i="3"/>
  <c r="G44" i="3"/>
  <c r="K44" i="3"/>
  <c r="O44" i="3"/>
  <c r="G45" i="3"/>
  <c r="K45" i="3"/>
  <c r="O45" i="3"/>
  <c r="G46" i="3"/>
  <c r="K46" i="3"/>
  <c r="O46" i="3"/>
  <c r="G47" i="3"/>
  <c r="K47" i="3"/>
  <c r="O47" i="3"/>
  <c r="G48" i="3"/>
  <c r="K48" i="3"/>
  <c r="O48" i="3"/>
  <c r="G49" i="3"/>
  <c r="K49" i="3"/>
  <c r="O49" i="3"/>
  <c r="G50" i="3"/>
  <c r="K50" i="3"/>
  <c r="O50" i="3"/>
  <c r="G51" i="3"/>
  <c r="K51" i="3"/>
  <c r="O51" i="3"/>
  <c r="G52" i="3"/>
  <c r="K52" i="3"/>
  <c r="O52" i="3"/>
  <c r="G53" i="3"/>
  <c r="K53" i="3"/>
  <c r="O53" i="3"/>
  <c r="G54" i="3"/>
  <c r="K54" i="3"/>
  <c r="O54" i="3"/>
  <c r="G55" i="3"/>
  <c r="K55" i="3"/>
  <c r="O55" i="3"/>
  <c r="G56" i="3"/>
  <c r="K56" i="3"/>
  <c r="O56" i="3"/>
  <c r="G57" i="3"/>
  <c r="K57" i="3"/>
  <c r="O57" i="3"/>
  <c r="G58" i="3"/>
  <c r="K58" i="3"/>
  <c r="O58" i="3"/>
  <c r="G59" i="3"/>
  <c r="K59" i="3"/>
  <c r="O59" i="3"/>
  <c r="G60" i="3"/>
  <c r="K60" i="3"/>
  <c r="O60" i="3"/>
  <c r="D40" i="3"/>
  <c r="H40" i="3"/>
  <c r="L40" i="3"/>
  <c r="D41" i="3"/>
  <c r="H41" i="3"/>
  <c r="L41" i="3"/>
  <c r="D42" i="3"/>
  <c r="H42" i="3"/>
  <c r="L42" i="3"/>
  <c r="D43" i="3"/>
  <c r="H43" i="3"/>
  <c r="L43" i="3"/>
  <c r="D44" i="3"/>
  <c r="H44" i="3"/>
  <c r="L44" i="3"/>
  <c r="D45" i="3"/>
  <c r="H45" i="3"/>
  <c r="L45" i="3"/>
  <c r="D46" i="3"/>
  <c r="H46" i="3"/>
  <c r="L46" i="3"/>
  <c r="E40" i="3"/>
  <c r="M40" i="3"/>
  <c r="I41" i="3"/>
  <c r="E42" i="3"/>
  <c r="M42" i="3"/>
  <c r="I43" i="3"/>
  <c r="E44" i="3"/>
  <c r="M44" i="3"/>
  <c r="I45" i="3"/>
  <c r="E46" i="3"/>
  <c r="M46" i="3"/>
  <c r="F47" i="3"/>
  <c r="L47" i="3"/>
  <c r="E48" i="3"/>
  <c r="J48" i="3"/>
  <c r="D49" i="3"/>
  <c r="I49" i="3"/>
  <c r="N49" i="3"/>
  <c r="H50" i="3"/>
  <c r="M50" i="3"/>
  <c r="F51" i="3"/>
  <c r="L51" i="3"/>
  <c r="E52" i="3"/>
  <c r="J52" i="3"/>
  <c r="D53" i="3"/>
  <c r="I53" i="3"/>
  <c r="N53" i="3"/>
  <c r="H54" i="3"/>
  <c r="M54" i="3"/>
  <c r="F55" i="3"/>
  <c r="L55" i="3"/>
  <c r="E56" i="3"/>
  <c r="J56" i="3"/>
  <c r="D57" i="3"/>
  <c r="I57" i="3"/>
  <c r="N57" i="3"/>
  <c r="H58" i="3"/>
  <c r="M58" i="3"/>
  <c r="F59" i="3"/>
  <c r="L59" i="3"/>
  <c r="E60" i="3"/>
  <c r="J60" i="3"/>
  <c r="F40" i="3"/>
  <c r="N40" i="3"/>
  <c r="J41" i="3"/>
  <c r="F42" i="3"/>
  <c r="N42" i="3"/>
  <c r="J43" i="3"/>
  <c r="F44" i="3"/>
  <c r="N44" i="3"/>
  <c r="J45" i="3"/>
  <c r="F46" i="3"/>
  <c r="N46" i="3"/>
  <c r="H47" i="3"/>
  <c r="M47" i="3"/>
  <c r="F48" i="3"/>
  <c r="L48" i="3"/>
  <c r="E49" i="3"/>
  <c r="J49" i="3"/>
  <c r="D50" i="3"/>
  <c r="I50" i="3"/>
  <c r="N50" i="3"/>
  <c r="H51" i="3"/>
  <c r="M51" i="3"/>
  <c r="F52" i="3"/>
  <c r="L52" i="3"/>
  <c r="E53" i="3"/>
  <c r="J53" i="3"/>
  <c r="D54" i="3"/>
  <c r="I54" i="3"/>
  <c r="N54" i="3"/>
  <c r="H55" i="3"/>
  <c r="M55" i="3"/>
  <c r="F56" i="3"/>
  <c r="L56" i="3"/>
  <c r="E57" i="3"/>
  <c r="J57" i="3"/>
  <c r="D58" i="3"/>
  <c r="I58" i="3"/>
  <c r="N58" i="3"/>
  <c r="H59" i="3"/>
  <c r="M59" i="3"/>
  <c r="F60" i="3"/>
  <c r="L60" i="3"/>
  <c r="I40" i="3"/>
  <c r="E41" i="3"/>
  <c r="M41" i="3"/>
  <c r="I42" i="3"/>
  <c r="E43" i="3"/>
  <c r="M43" i="3"/>
  <c r="I44" i="3"/>
  <c r="E45" i="3"/>
  <c r="M45" i="3"/>
  <c r="I46" i="3"/>
  <c r="D47" i="3"/>
  <c r="I47" i="3"/>
  <c r="N47" i="3"/>
  <c r="H48" i="3"/>
  <c r="M48" i="3"/>
  <c r="F49" i="3"/>
  <c r="L49" i="3"/>
  <c r="E50" i="3"/>
  <c r="J50" i="3"/>
  <c r="D51" i="3"/>
  <c r="I51" i="3"/>
  <c r="N51" i="3"/>
  <c r="H52" i="3"/>
  <c r="M52" i="3"/>
  <c r="F53" i="3"/>
  <c r="L53" i="3"/>
  <c r="E54" i="3"/>
  <c r="J54" i="3"/>
  <c r="D55" i="3"/>
  <c r="I55" i="3"/>
  <c r="N55" i="3"/>
  <c r="H56" i="3"/>
  <c r="M56" i="3"/>
  <c r="F57" i="3"/>
  <c r="L57" i="3"/>
  <c r="E58" i="3"/>
  <c r="J58" i="3"/>
  <c r="D59" i="3"/>
  <c r="I59" i="3"/>
  <c r="N59" i="3"/>
  <c r="H60" i="3"/>
  <c r="M60" i="3"/>
  <c r="J40" i="3"/>
  <c r="F41" i="3"/>
  <c r="N41" i="3"/>
  <c r="J42" i="3"/>
  <c r="F43" i="3"/>
  <c r="N43" i="3"/>
  <c r="J44" i="3"/>
  <c r="F45" i="3"/>
  <c r="N45" i="3"/>
  <c r="J46" i="3"/>
  <c r="E47" i="3"/>
  <c r="J47" i="3"/>
  <c r="D48" i="3"/>
  <c r="I48" i="3"/>
  <c r="N48" i="3"/>
  <c r="H49" i="3"/>
  <c r="M49" i="3"/>
  <c r="F50" i="3"/>
  <c r="L50" i="3"/>
  <c r="E51" i="3"/>
  <c r="J51" i="3"/>
  <c r="D52" i="3"/>
  <c r="I52" i="3"/>
  <c r="N52" i="3"/>
  <c r="H53" i="3"/>
  <c r="M53" i="3"/>
  <c r="F54" i="3"/>
  <c r="L54" i="3"/>
  <c r="E55" i="3"/>
  <c r="J55" i="3"/>
  <c r="D56" i="3"/>
  <c r="I56" i="3"/>
  <c r="N56" i="3"/>
  <c r="H57" i="3"/>
  <c r="M57" i="3"/>
  <c r="F58" i="3"/>
  <c r="L58" i="3"/>
  <c r="E59" i="3"/>
  <c r="J59" i="3"/>
  <c r="D60" i="3"/>
  <c r="I60" i="3"/>
  <c r="N60" i="3"/>
  <c r="G18" i="3"/>
  <c r="D18" i="3"/>
  <c r="H18" i="3"/>
  <c r="L18" i="3"/>
  <c r="D19" i="3"/>
  <c r="H19" i="3"/>
  <c r="L19" i="3"/>
  <c r="D20" i="3"/>
  <c r="H20" i="3"/>
  <c r="L20" i="3"/>
  <c r="D21" i="3"/>
  <c r="H21" i="3"/>
  <c r="L21" i="3"/>
  <c r="D22" i="3"/>
  <c r="H22" i="3"/>
  <c r="L22" i="3"/>
  <c r="D23" i="3"/>
  <c r="H23" i="3"/>
  <c r="L23" i="3"/>
  <c r="D24" i="3"/>
  <c r="H24" i="3"/>
  <c r="L24" i="3"/>
  <c r="D25" i="3"/>
  <c r="H25" i="3"/>
  <c r="L25" i="3"/>
  <c r="D26" i="3"/>
  <c r="H26" i="3"/>
  <c r="L26" i="3"/>
  <c r="D27" i="3"/>
  <c r="H27" i="3"/>
  <c r="L27" i="3"/>
  <c r="D28" i="3"/>
  <c r="H28" i="3"/>
  <c r="L28" i="3"/>
  <c r="D29" i="3"/>
  <c r="H29" i="3"/>
  <c r="L29" i="3"/>
  <c r="D30" i="3"/>
  <c r="H30" i="3"/>
  <c r="L30" i="3"/>
  <c r="D31" i="3"/>
  <c r="H31" i="3"/>
  <c r="L31" i="3"/>
  <c r="D32" i="3"/>
  <c r="H32" i="3"/>
  <c r="L32" i="3"/>
  <c r="D33" i="3"/>
  <c r="H33" i="3"/>
  <c r="L33" i="3"/>
  <c r="D34" i="3"/>
  <c r="H34" i="3"/>
  <c r="L34" i="3"/>
  <c r="D35" i="3"/>
  <c r="H35" i="3"/>
  <c r="L35" i="3"/>
  <c r="D36" i="3"/>
  <c r="H36" i="3"/>
  <c r="L36" i="3"/>
  <c r="D37" i="3"/>
  <c r="H37" i="3"/>
  <c r="L37" i="3"/>
  <c r="D38" i="3"/>
  <c r="H38" i="3"/>
  <c r="L38" i="3"/>
  <c r="E18" i="3"/>
  <c r="I18" i="3"/>
  <c r="M18" i="3"/>
  <c r="E19" i="3"/>
  <c r="I19" i="3"/>
  <c r="M19" i="3"/>
  <c r="E20" i="3"/>
  <c r="I20" i="3"/>
  <c r="M20" i="3"/>
  <c r="E21" i="3"/>
  <c r="I21" i="3"/>
  <c r="M21" i="3"/>
  <c r="E22" i="3"/>
  <c r="I22" i="3"/>
  <c r="M22" i="3"/>
  <c r="E23" i="3"/>
  <c r="I23" i="3"/>
  <c r="M23" i="3"/>
  <c r="E24" i="3"/>
  <c r="I24" i="3"/>
  <c r="M24" i="3"/>
  <c r="E25" i="3"/>
  <c r="F18" i="3"/>
  <c r="O18" i="3"/>
  <c r="K19" i="3"/>
  <c r="G20" i="3"/>
  <c r="O20" i="3"/>
  <c r="K21" i="3"/>
  <c r="G22" i="3"/>
  <c r="O22" i="3"/>
  <c r="K23" i="3"/>
  <c r="G24" i="3"/>
  <c r="O24" i="3"/>
  <c r="J25" i="3"/>
  <c r="O25" i="3"/>
  <c r="I26" i="3"/>
  <c r="N26" i="3"/>
  <c r="G27" i="3"/>
  <c r="M27" i="3"/>
  <c r="F28" i="3"/>
  <c r="K28" i="3"/>
  <c r="E29" i="3"/>
  <c r="J29" i="3"/>
  <c r="O29" i="3"/>
  <c r="I30" i="3"/>
  <c r="N30" i="3"/>
  <c r="G31" i="3"/>
  <c r="M31" i="3"/>
  <c r="F32" i="3"/>
  <c r="K32" i="3"/>
  <c r="E33" i="3"/>
  <c r="J33" i="3"/>
  <c r="O33" i="3"/>
  <c r="I34" i="3"/>
  <c r="N34" i="3"/>
  <c r="G35" i="3"/>
  <c r="M35" i="3"/>
  <c r="F36" i="3"/>
  <c r="K36" i="3"/>
  <c r="E37" i="3"/>
  <c r="J37" i="3"/>
  <c r="O37" i="3"/>
  <c r="I38" i="3"/>
  <c r="N38" i="3"/>
  <c r="J18" i="3"/>
  <c r="F19" i="3"/>
  <c r="N19" i="3"/>
  <c r="J20" i="3"/>
  <c r="F21" i="3"/>
  <c r="N21" i="3"/>
  <c r="J22" i="3"/>
  <c r="F23" i="3"/>
  <c r="N23" i="3"/>
  <c r="J24" i="3"/>
  <c r="F25" i="3"/>
  <c r="K25" i="3"/>
  <c r="E26" i="3"/>
  <c r="J26" i="3"/>
  <c r="O26" i="3"/>
  <c r="I27" i="3"/>
  <c r="N27" i="3"/>
  <c r="G28" i="3"/>
  <c r="M28" i="3"/>
  <c r="F29" i="3"/>
  <c r="K29" i="3"/>
  <c r="E30" i="3"/>
  <c r="J30" i="3"/>
  <c r="O30" i="3"/>
  <c r="I31" i="3"/>
  <c r="N31" i="3"/>
  <c r="G32" i="3"/>
  <c r="M32" i="3"/>
  <c r="F33" i="3"/>
  <c r="K33" i="3"/>
  <c r="E34" i="3"/>
  <c r="J34" i="3"/>
  <c r="O34" i="3"/>
  <c r="I35" i="3"/>
  <c r="N35" i="3"/>
  <c r="G36" i="3"/>
  <c r="M36" i="3"/>
  <c r="F37" i="3"/>
  <c r="K37" i="3"/>
  <c r="E38" i="3"/>
  <c r="J38" i="3"/>
  <c r="O38" i="3"/>
  <c r="K18" i="3"/>
  <c r="N18" i="3"/>
  <c r="F20" i="3"/>
  <c r="J21" i="3"/>
  <c r="N22" i="3"/>
  <c r="F24" i="3"/>
  <c r="I25" i="3"/>
  <c r="G26" i="3"/>
  <c r="F27" i="3"/>
  <c r="E28" i="3"/>
  <c r="O28" i="3"/>
  <c r="N29" i="3"/>
  <c r="M30" i="3"/>
  <c r="K31" i="3"/>
  <c r="J32" i="3"/>
  <c r="I33" i="3"/>
  <c r="G34" i="3"/>
  <c r="F35" i="3"/>
  <c r="E36" i="3"/>
  <c r="O36" i="3"/>
  <c r="N37" i="3"/>
  <c r="M38" i="3"/>
  <c r="K35" i="3"/>
  <c r="I37" i="3"/>
  <c r="G21" i="3"/>
  <c r="O23" i="3"/>
  <c r="F26" i="3"/>
  <c r="O27" i="3"/>
  <c r="M29" i="3"/>
  <c r="J31" i="3"/>
  <c r="F34" i="3"/>
  <c r="O35" i="3"/>
  <c r="M37" i="3"/>
  <c r="G19" i="3"/>
  <c r="K20" i="3"/>
  <c r="O21" i="3"/>
  <c r="G23" i="3"/>
  <c r="K24" i="3"/>
  <c r="M25" i="3"/>
  <c r="K26" i="3"/>
  <c r="J27" i="3"/>
  <c r="I28" i="3"/>
  <c r="G29" i="3"/>
  <c r="F30" i="3"/>
  <c r="E31" i="3"/>
  <c r="O31" i="3"/>
  <c r="N32" i="3"/>
  <c r="M33" i="3"/>
  <c r="K34" i="3"/>
  <c r="J35" i="3"/>
  <c r="I36" i="3"/>
  <c r="G37" i="3"/>
  <c r="F38" i="3"/>
  <c r="J19" i="3"/>
  <c r="N20" i="3"/>
  <c r="F22" i="3"/>
  <c r="J23" i="3"/>
  <c r="N24" i="3"/>
  <c r="N25" i="3"/>
  <c r="M26" i="3"/>
  <c r="K27" i="3"/>
  <c r="J28" i="3"/>
  <c r="I29" i="3"/>
  <c r="G30" i="3"/>
  <c r="F31" i="3"/>
  <c r="E32" i="3"/>
  <c r="O32" i="3"/>
  <c r="N33" i="3"/>
  <c r="M34" i="3"/>
  <c r="J36" i="3"/>
  <c r="G38" i="3"/>
  <c r="O19" i="3"/>
  <c r="K22" i="3"/>
  <c r="G25" i="3"/>
  <c r="E27" i="3"/>
  <c r="N28" i="3"/>
  <c r="K30" i="3"/>
  <c r="I32" i="3"/>
  <c r="G33" i="3"/>
  <c r="E35" i="3"/>
  <c r="N36" i="3"/>
  <c r="K38" i="3"/>
  <c r="G18" i="1"/>
  <c r="K18" i="1"/>
  <c r="O18" i="1"/>
  <c r="G19" i="1"/>
  <c r="K19" i="1"/>
  <c r="O19" i="1"/>
  <c r="G20" i="1"/>
  <c r="K20" i="1"/>
  <c r="O20" i="1"/>
  <c r="G21" i="1"/>
  <c r="K21" i="1"/>
  <c r="O21" i="1"/>
  <c r="G22" i="1"/>
  <c r="K22" i="1"/>
  <c r="O22" i="1"/>
  <c r="G23" i="1"/>
  <c r="K23" i="1"/>
  <c r="O23" i="1"/>
  <c r="G24" i="1"/>
  <c r="K24" i="1"/>
  <c r="O24" i="1"/>
  <c r="G25" i="1"/>
  <c r="K25" i="1"/>
  <c r="O25" i="1"/>
  <c r="G26" i="1"/>
  <c r="K26" i="1"/>
  <c r="O26" i="1"/>
  <c r="G27" i="1"/>
  <c r="K27" i="1"/>
  <c r="O27" i="1"/>
  <c r="G28" i="1"/>
  <c r="K28" i="1"/>
  <c r="O28" i="1"/>
  <c r="G29" i="1"/>
  <c r="K29" i="1"/>
  <c r="O29" i="1"/>
  <c r="G30" i="1"/>
  <c r="K30" i="1"/>
  <c r="O30" i="1"/>
  <c r="G31" i="1"/>
  <c r="K31" i="1"/>
  <c r="O31" i="1"/>
  <c r="G32" i="1"/>
  <c r="K32" i="1"/>
  <c r="O32" i="1"/>
  <c r="G33" i="1"/>
  <c r="K33" i="1"/>
  <c r="O33" i="1"/>
  <c r="G34" i="1"/>
  <c r="K34" i="1"/>
  <c r="O34" i="1"/>
  <c r="G35" i="1"/>
  <c r="K35" i="1"/>
  <c r="O35" i="1"/>
  <c r="G36" i="1"/>
  <c r="K36" i="1"/>
  <c r="O36" i="1"/>
  <c r="G37" i="1"/>
  <c r="K37" i="1"/>
  <c r="O37" i="1"/>
  <c r="G38" i="1"/>
  <c r="K38" i="1"/>
  <c r="O38" i="1"/>
  <c r="D18" i="1"/>
  <c r="H18" i="1"/>
  <c r="L18" i="1"/>
  <c r="D19" i="1"/>
  <c r="H19" i="1"/>
  <c r="L19" i="1"/>
  <c r="D20" i="1"/>
  <c r="H20" i="1"/>
  <c r="L20" i="1"/>
  <c r="D21" i="1"/>
  <c r="H21" i="1"/>
  <c r="L21" i="1"/>
  <c r="D22" i="1"/>
  <c r="H22" i="1"/>
  <c r="L22" i="1"/>
  <c r="D23" i="1"/>
  <c r="H23" i="1"/>
  <c r="L23" i="1"/>
  <c r="D24" i="1"/>
  <c r="H24" i="1"/>
  <c r="L24" i="1"/>
  <c r="E18" i="1"/>
  <c r="M18" i="1"/>
  <c r="I19" i="1"/>
  <c r="E20" i="1"/>
  <c r="M20" i="1"/>
  <c r="I21" i="1"/>
  <c r="E22" i="1"/>
  <c r="M22" i="1"/>
  <c r="I23" i="1"/>
  <c r="E24" i="1"/>
  <c r="M24" i="1"/>
  <c r="F25" i="1"/>
  <c r="L25" i="1"/>
  <c r="E26" i="1"/>
  <c r="J26" i="1"/>
  <c r="D27" i="1"/>
  <c r="I27" i="1"/>
  <c r="N27" i="1"/>
  <c r="H28" i="1"/>
  <c r="M28" i="1"/>
  <c r="F29" i="1"/>
  <c r="L29" i="1"/>
  <c r="E30" i="1"/>
  <c r="J30" i="1"/>
  <c r="D31" i="1"/>
  <c r="I31" i="1"/>
  <c r="N31" i="1"/>
  <c r="H32" i="1"/>
  <c r="M32" i="1"/>
  <c r="F33" i="1"/>
  <c r="L33" i="1"/>
  <c r="E34" i="1"/>
  <c r="J34" i="1"/>
  <c r="D35" i="1"/>
  <c r="I35" i="1"/>
  <c r="N35" i="1"/>
  <c r="H36" i="1"/>
  <c r="M36" i="1"/>
  <c r="F37" i="1"/>
  <c r="L37" i="1"/>
  <c r="E38" i="1"/>
  <c r="J38" i="1"/>
  <c r="F18" i="1"/>
  <c r="N18" i="1"/>
  <c r="J19" i="1"/>
  <c r="F20" i="1"/>
  <c r="N20" i="1"/>
  <c r="J21" i="1"/>
  <c r="F22" i="1"/>
  <c r="N22" i="1"/>
  <c r="J23" i="1"/>
  <c r="F24" i="1"/>
  <c r="N24" i="1"/>
  <c r="H25" i="1"/>
  <c r="M25" i="1"/>
  <c r="F26" i="1"/>
  <c r="L26" i="1"/>
  <c r="E27" i="1"/>
  <c r="J27" i="1"/>
  <c r="D28" i="1"/>
  <c r="I28" i="1"/>
  <c r="N28" i="1"/>
  <c r="H29" i="1"/>
  <c r="M29" i="1"/>
  <c r="F30" i="1"/>
  <c r="L30" i="1"/>
  <c r="E31" i="1"/>
  <c r="J31" i="1"/>
  <c r="D32" i="1"/>
  <c r="I32" i="1"/>
  <c r="N32" i="1"/>
  <c r="H33" i="1"/>
  <c r="M33" i="1"/>
  <c r="F34" i="1"/>
  <c r="L34" i="1"/>
  <c r="E35" i="1"/>
  <c r="J35" i="1"/>
  <c r="D36" i="1"/>
  <c r="I36" i="1"/>
  <c r="N36" i="1"/>
  <c r="H37" i="1"/>
  <c r="M37" i="1"/>
  <c r="F38" i="1"/>
  <c r="L38" i="1"/>
  <c r="I18" i="1"/>
  <c r="E19" i="1"/>
  <c r="M19" i="1"/>
  <c r="I20" i="1"/>
  <c r="E21" i="1"/>
  <c r="M21" i="1"/>
  <c r="I22" i="1"/>
  <c r="E23" i="1"/>
  <c r="M23" i="1"/>
  <c r="I24" i="1"/>
  <c r="D25" i="1"/>
  <c r="I25" i="1"/>
  <c r="N25" i="1"/>
  <c r="H26" i="1"/>
  <c r="M26" i="1"/>
  <c r="F27" i="1"/>
  <c r="L27" i="1"/>
  <c r="E28" i="1"/>
  <c r="J28" i="1"/>
  <c r="D29" i="1"/>
  <c r="I29" i="1"/>
  <c r="N29" i="1"/>
  <c r="H30" i="1"/>
  <c r="M30" i="1"/>
  <c r="F31" i="1"/>
  <c r="L31" i="1"/>
  <c r="E32" i="1"/>
  <c r="J32" i="1"/>
  <c r="D33" i="1"/>
  <c r="I33" i="1"/>
  <c r="N33" i="1"/>
  <c r="H34" i="1"/>
  <c r="M34" i="1"/>
  <c r="F35" i="1"/>
  <c r="L35" i="1"/>
  <c r="E36" i="1"/>
  <c r="J36" i="1"/>
  <c r="D37" i="1"/>
  <c r="I37" i="1"/>
  <c r="N37" i="1"/>
  <c r="H38" i="1"/>
  <c r="M38" i="1"/>
  <c r="J18" i="1"/>
  <c r="F19" i="1"/>
  <c r="N19" i="1"/>
  <c r="J20" i="1"/>
  <c r="F21" i="1"/>
  <c r="N21" i="1"/>
  <c r="J22" i="1"/>
  <c r="F23" i="1"/>
  <c r="N23" i="1"/>
  <c r="J24" i="1"/>
  <c r="E25" i="1"/>
  <c r="J25" i="1"/>
  <c r="D26" i="1"/>
  <c r="I26" i="1"/>
  <c r="N26" i="1"/>
  <c r="H27" i="1"/>
  <c r="M27" i="1"/>
  <c r="F28" i="1"/>
  <c r="L28" i="1"/>
  <c r="E29" i="1"/>
  <c r="J29" i="1"/>
  <c r="D30" i="1"/>
  <c r="I30" i="1"/>
  <c r="N30" i="1"/>
  <c r="H31" i="1"/>
  <c r="M31" i="1"/>
  <c r="F32" i="1"/>
  <c r="L32" i="1"/>
  <c r="E33" i="1"/>
  <c r="J33" i="1"/>
  <c r="D34" i="1"/>
  <c r="I34" i="1"/>
  <c r="N34" i="1"/>
  <c r="H35" i="1"/>
  <c r="M35" i="1"/>
  <c r="F36" i="1"/>
  <c r="L36" i="1"/>
  <c r="E37" i="1"/>
  <c r="J37" i="1"/>
  <c r="D38" i="1"/>
  <c r="I38" i="1"/>
  <c r="N38" i="1"/>
</calcChain>
</file>

<file path=xl/sharedStrings.xml><?xml version="1.0" encoding="utf-8"?>
<sst xmlns="http://schemas.openxmlformats.org/spreadsheetml/2006/main" count="69" uniqueCount="38">
  <si>
    <t>估值日</t>
    <phoneticPr fontId="1" type="noConversion"/>
  </si>
  <si>
    <t>开始日</t>
    <phoneticPr fontId="1" type="noConversion"/>
  </si>
  <si>
    <t>互换长度</t>
    <phoneticPr fontId="1" type="noConversion"/>
  </si>
  <si>
    <t>固定端周期</t>
    <phoneticPr fontId="1" type="noConversion"/>
  </si>
  <si>
    <t>浮动端周期</t>
    <phoneticPr fontId="1" type="noConversion"/>
  </si>
  <si>
    <t>固定利率</t>
    <phoneticPr fontId="1" type="noConversion"/>
  </si>
  <si>
    <t>forecastingTermStructure</t>
    <phoneticPr fontId="1" type="noConversion"/>
  </si>
  <si>
    <t>discountingTermStructure</t>
    <phoneticPr fontId="1" type="noConversion"/>
  </si>
  <si>
    <t>Forecasting Curve</t>
    <phoneticPr fontId="1" type="noConversion"/>
  </si>
  <si>
    <t>Discounting Curve</t>
    <phoneticPr fontId="1" type="noConversion"/>
  </si>
  <si>
    <t>互换参数</t>
    <phoneticPr fontId="1" type="noConversion"/>
  </si>
  <si>
    <t>产品</t>
    <phoneticPr fontId="1" type="noConversion"/>
  </si>
  <si>
    <t>类型</t>
    <phoneticPr fontId="1" type="noConversion"/>
  </si>
  <si>
    <t>面值（CNY）</t>
    <phoneticPr fontId="1" type="noConversion"/>
  </si>
  <si>
    <t>名称</t>
  </si>
  <si>
    <t>名称</t>
    <phoneticPr fontId="1" type="noConversion"/>
  </si>
  <si>
    <t>计算结果</t>
    <phoneticPr fontId="1" type="noConversion"/>
  </si>
  <si>
    <t>NPV</t>
    <phoneticPr fontId="1" type="noConversion"/>
  </si>
  <si>
    <t>固定端 NPV</t>
    <phoneticPr fontId="1" type="noConversion"/>
  </si>
  <si>
    <t>浮动端 NPV</t>
    <phoneticPr fontId="1" type="noConversion"/>
  </si>
  <si>
    <t xml:space="preserve">固定端 BPS  </t>
    <phoneticPr fontId="1" type="noConversion"/>
  </si>
  <si>
    <t xml:space="preserve">浮动端 BPS  </t>
    <phoneticPr fontId="1" type="noConversion"/>
  </si>
  <si>
    <t>平价利率</t>
    <phoneticPr fontId="1" type="noConversion"/>
  </si>
  <si>
    <t>Level</t>
    <phoneticPr fontId="1" type="noConversion"/>
  </si>
  <si>
    <t>现金流分析</t>
    <phoneticPr fontId="1" type="noConversion"/>
  </si>
  <si>
    <t>固定端</t>
    <phoneticPr fontId="1" type="noConversion"/>
  </si>
  <si>
    <t>浮动端</t>
    <phoneticPr fontId="1" type="noConversion"/>
  </si>
  <si>
    <t>当前收益率曲线水平</t>
    <phoneticPr fontId="1" type="noConversion"/>
  </si>
  <si>
    <t>计算模型</t>
    <phoneticPr fontId="1" type="noConversion"/>
  </si>
  <si>
    <t>支付周期</t>
    <phoneticPr fontId="1" type="noConversion"/>
  </si>
  <si>
    <t>discountingSwapEngine</t>
    <phoneticPr fontId="1" type="noConversion"/>
  </si>
  <si>
    <t>index</t>
    <phoneticPr fontId="1" type="noConversion"/>
  </si>
  <si>
    <t>Shibor5Y3MSwap</t>
    <phoneticPr fontId="1" type="noConversion"/>
  </si>
  <si>
    <t>discountingSwapEngine</t>
    <phoneticPr fontId="1" type="noConversion"/>
  </si>
  <si>
    <t>5Y</t>
    <phoneticPr fontId="1" type="noConversion"/>
  </si>
  <si>
    <t>3M</t>
    <phoneticPr fontId="1" type="noConversion"/>
  </si>
  <si>
    <t>Payer</t>
    <phoneticPr fontId="1" type="noConversion"/>
  </si>
  <si>
    <t>Repo5Y1WSwap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</si>
</sst>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_);[Red]\(0.00\)"/>
    <numFmt numFmtId="177" formatCode="0.0000%"/>
    <numFmt numFmtId="178" formatCode="0.0000"/>
    <numFmt numFmtId="179" formatCode="0.00000"/>
  </numFmts>
  <fonts count="8" x14ac:knownFonts="1">
    <font>
      <sz val="11"/>
      <color theme="1"/>
      <name val="华文楷体"/>
      <family val="2"/>
      <charset val="134"/>
    </font>
    <font>
      <sz val="9"/>
      <name val="华文楷体"/>
      <family val="2"/>
      <charset val="134"/>
    </font>
    <font>
      <b/>
      <sz val="11"/>
      <color theme="1"/>
      <name val="华文楷体"/>
      <family val="3"/>
      <charset val="134"/>
    </font>
    <font>
      <sz val="11"/>
      <color theme="1"/>
      <name val="华文楷体"/>
      <family val="3"/>
      <charset val="134"/>
    </font>
    <font>
      <sz val="11"/>
      <color theme="1"/>
      <name val="华文楷体"/>
      <family val="2"/>
      <charset val="134"/>
    </font>
    <font>
      <b/>
      <sz val="14"/>
      <color rgb="FFFF0000"/>
      <name val="华文楷体"/>
      <family val="3"/>
      <charset val="134"/>
    </font>
    <font>
      <b/>
      <sz val="14"/>
      <color theme="1"/>
      <name val="华文楷体"/>
      <family val="3"/>
      <charset val="134"/>
    </font>
    <font>
      <b/>
      <sz val="12"/>
      <color theme="1"/>
      <name val="华文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45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14" fontId="3" fillId="0" borderId="2" xfId="0" applyNumberFormat="1" applyFont="1" applyBorder="1" applyAlignment="1">
      <alignment horizontal="right" vertical="center"/>
    </xf>
    <xf numFmtId="0" fontId="3" fillId="0" borderId="7" xfId="0" applyFont="1" applyBorder="1" applyAlignment="1">
      <alignment horizontal="right" vertical="center"/>
    </xf>
    <xf numFmtId="0" fontId="3" fillId="0" borderId="2" xfId="0" applyFont="1" applyBorder="1" applyAlignment="1">
      <alignment horizontal="right" vertical="center"/>
    </xf>
    <xf numFmtId="0" fontId="3" fillId="2" borderId="3" xfId="0" applyFont="1" applyFill="1" applyBorder="1" applyAlignment="1">
      <alignment horizontal="right" vertical="center"/>
    </xf>
    <xf numFmtId="14" fontId="3" fillId="0" borderId="4" xfId="0" applyNumberFormat="1" applyFont="1" applyBorder="1" applyAlignment="1">
      <alignment horizontal="right" vertical="center"/>
    </xf>
    <xf numFmtId="14" fontId="3" fillId="0" borderId="0" xfId="0" applyNumberFormat="1" applyFont="1" applyAlignment="1">
      <alignment horizontal="right" vertical="center"/>
    </xf>
    <xf numFmtId="0" fontId="3" fillId="0" borderId="0" xfId="0" applyFont="1" applyBorder="1" applyAlignment="1">
      <alignment horizontal="right" vertical="center"/>
    </xf>
    <xf numFmtId="0" fontId="3" fillId="0" borderId="4" xfId="0" applyFont="1" applyBorder="1" applyAlignment="1">
      <alignment horizontal="right" vertical="center"/>
    </xf>
    <xf numFmtId="0" fontId="3" fillId="2" borderId="0" xfId="0" applyFont="1" applyFill="1" applyBorder="1" applyAlignment="1">
      <alignment horizontal="right" vertical="center"/>
    </xf>
    <xf numFmtId="0" fontId="3" fillId="0" borderId="8" xfId="0" applyFont="1" applyBorder="1" applyAlignment="1">
      <alignment horizontal="right" vertical="center"/>
    </xf>
    <xf numFmtId="0" fontId="3" fillId="0" borderId="6" xfId="0" applyFont="1" applyBorder="1" applyAlignment="1">
      <alignment horizontal="right" vertical="center"/>
    </xf>
    <xf numFmtId="176" fontId="3" fillId="0" borderId="4" xfId="0" applyNumberFormat="1" applyFont="1" applyBorder="1" applyAlignment="1">
      <alignment horizontal="right" vertical="center"/>
    </xf>
    <xf numFmtId="0" fontId="3" fillId="0" borderId="0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right" vertical="center"/>
    </xf>
    <xf numFmtId="177" fontId="3" fillId="0" borderId="4" xfId="1" applyNumberFormat="1" applyFont="1" applyBorder="1" applyAlignment="1">
      <alignment horizontal="right" vertical="center"/>
    </xf>
    <xf numFmtId="2" fontId="3" fillId="0" borderId="2" xfId="0" applyNumberFormat="1" applyFont="1" applyBorder="1" applyAlignment="1">
      <alignment horizontal="right" vertical="center"/>
    </xf>
    <xf numFmtId="2" fontId="3" fillId="0" borderId="4" xfId="0" applyNumberFormat="1" applyFont="1" applyBorder="1" applyAlignment="1">
      <alignment horizontal="right" vertical="center"/>
    </xf>
    <xf numFmtId="177" fontId="3" fillId="0" borderId="6" xfId="1" applyNumberFormat="1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14" fontId="6" fillId="0" borderId="0" xfId="0" applyNumberFormat="1" applyFont="1" applyAlignment="1">
      <alignment horizontal="right" vertical="center"/>
    </xf>
    <xf numFmtId="176" fontId="2" fillId="3" borderId="9" xfId="0" applyNumberFormat="1" applyFont="1" applyFill="1" applyBorder="1" applyAlignment="1">
      <alignment horizontal="right" vertical="center"/>
    </xf>
    <xf numFmtId="0" fontId="2" fillId="3" borderId="10" xfId="0" applyFont="1" applyFill="1" applyBorder="1" applyAlignment="1">
      <alignment horizontal="right" vertical="center"/>
    </xf>
    <xf numFmtId="14" fontId="2" fillId="3" borderId="10" xfId="0" applyNumberFormat="1" applyFont="1" applyFill="1" applyBorder="1" applyAlignment="1">
      <alignment horizontal="right" vertical="center"/>
    </xf>
    <xf numFmtId="0" fontId="2" fillId="3" borderId="11" xfId="0" applyFont="1" applyFill="1" applyBorder="1" applyAlignment="1">
      <alignment horizontal="right" vertical="center"/>
    </xf>
    <xf numFmtId="14" fontId="3" fillId="0" borderId="3" xfId="0" applyNumberFormat="1" applyFont="1" applyBorder="1" applyAlignment="1">
      <alignment horizontal="right" vertical="center"/>
    </xf>
    <xf numFmtId="14" fontId="3" fillId="0" borderId="0" xfId="0" applyNumberFormat="1" applyFont="1" applyBorder="1" applyAlignment="1">
      <alignment horizontal="right" vertical="center"/>
    </xf>
    <xf numFmtId="14" fontId="3" fillId="0" borderId="5" xfId="0" applyNumberFormat="1" applyFont="1" applyBorder="1" applyAlignment="1">
      <alignment horizontal="right" vertical="center"/>
    </xf>
    <xf numFmtId="14" fontId="3" fillId="0" borderId="8" xfId="0" applyNumberFormat="1" applyFont="1" applyBorder="1" applyAlignment="1">
      <alignment horizontal="right" vertical="center"/>
    </xf>
    <xf numFmtId="14" fontId="2" fillId="0" borderId="0" xfId="0" applyNumberFormat="1" applyFont="1" applyAlignment="1">
      <alignment horizontal="right" vertical="center"/>
    </xf>
    <xf numFmtId="178" fontId="3" fillId="0" borderId="0" xfId="0" applyNumberFormat="1" applyFont="1" applyBorder="1" applyAlignment="1">
      <alignment horizontal="right" vertical="center"/>
    </xf>
    <xf numFmtId="178" fontId="3" fillId="0" borderId="8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179" fontId="3" fillId="0" borderId="8" xfId="0" applyNumberFormat="1" applyFont="1" applyBorder="1" applyAlignment="1">
      <alignment horizontal="right" vertical="center"/>
    </xf>
    <xf numFmtId="14" fontId="7" fillId="0" borderId="0" xfId="0" applyNumberFormat="1" applyFont="1" applyAlignment="1">
      <alignment horizontal="right" vertical="center"/>
    </xf>
    <xf numFmtId="0" fontId="3" fillId="3" borderId="1" xfId="0" applyFont="1" applyFill="1" applyBorder="1" applyAlignment="1">
      <alignment horizontal="right" vertical="center"/>
    </xf>
    <xf numFmtId="0" fontId="3" fillId="3" borderId="3" xfId="0" applyFont="1" applyFill="1" applyBorder="1" applyAlignment="1">
      <alignment horizontal="right" vertical="center"/>
    </xf>
    <xf numFmtId="0" fontId="3" fillId="3" borderId="5" xfId="0" applyFont="1" applyFill="1" applyBorder="1" applyAlignment="1">
      <alignment horizontal="right" vertical="center"/>
    </xf>
    <xf numFmtId="0" fontId="3" fillId="3" borderId="7" xfId="0" applyFont="1" applyFill="1" applyBorder="1" applyAlignment="1">
      <alignment horizontal="right" vertical="center"/>
    </xf>
    <xf numFmtId="0" fontId="3" fillId="3" borderId="0" xfId="0" applyFont="1" applyFill="1" applyBorder="1" applyAlignment="1">
      <alignment horizontal="right" vertical="center"/>
    </xf>
    <xf numFmtId="177" fontId="3" fillId="3" borderId="0" xfId="1" applyNumberFormat="1" applyFont="1" applyFill="1" applyBorder="1" applyAlignment="1">
      <alignment horizontal="right" vertical="center"/>
    </xf>
    <xf numFmtId="0" fontId="3" fillId="3" borderId="8" xfId="0" applyFont="1" applyFill="1" applyBorder="1" applyAlignment="1">
      <alignment horizontal="right"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61"/>
  <sheetViews>
    <sheetView showGridLines="0" zoomScaleNormal="100" workbookViewId="0">
      <selection activeCell="D41" sqref="D41"/>
    </sheetView>
  </sheetViews>
  <sheetFormatPr defaultRowHeight="16.5" x14ac:dyDescent="0.3"/>
  <cols>
    <col min="1" max="1" width="15.42578125" style="2" bestFit="1" customWidth="1"/>
    <col min="2" max="2" width="23.85546875" style="2" bestFit="1" customWidth="1"/>
    <col min="3" max="3" width="26" style="2" customWidth="1"/>
    <col min="4" max="4" width="27.85546875" style="2" bestFit="1" customWidth="1"/>
    <col min="5" max="6" width="30.7109375" style="2" bestFit="1" customWidth="1"/>
    <col min="7" max="7" width="20.42578125" style="2" bestFit="1" customWidth="1"/>
    <col min="8" max="8" width="20" style="2" bestFit="1" customWidth="1"/>
    <col min="9" max="9" width="14.85546875" style="2" bestFit="1" customWidth="1"/>
    <col min="10" max="10" width="20.5703125" style="2" bestFit="1" customWidth="1"/>
    <col min="11" max="11" width="13.5703125" style="2" bestFit="1" customWidth="1"/>
    <col min="12" max="12" width="14.28515625" style="2" bestFit="1" customWidth="1"/>
    <col min="13" max="13" width="20.28515625" style="2" customWidth="1"/>
    <col min="14" max="14" width="16.42578125" style="2" bestFit="1" customWidth="1"/>
    <col min="15" max="15" width="15.85546875" style="2" bestFit="1" customWidth="1"/>
    <col min="16" max="16384" width="9.140625" style="2"/>
  </cols>
  <sheetData>
    <row r="1" spans="1:8" x14ac:dyDescent="0.3">
      <c r="A1" s="1" t="s">
        <v>10</v>
      </c>
      <c r="B1" s="2" t="b">
        <f>_xll.CALSettingsSetEvaluationDate(B2)</f>
        <v>1</v>
      </c>
      <c r="D1" s="1" t="s">
        <v>27</v>
      </c>
    </row>
    <row r="2" spans="1:8" x14ac:dyDescent="0.3">
      <c r="A2" s="3" t="s">
        <v>0</v>
      </c>
      <c r="B2" s="4">
        <v>41648</v>
      </c>
      <c r="D2" s="38" t="s">
        <v>6</v>
      </c>
      <c r="E2" s="41"/>
      <c r="F2" s="5" t="str">
        <f>_xll.CALRelinkableHandleYieldTermStructure(D2,,,,TRUE)</f>
        <v>forecastingTermStructure</v>
      </c>
      <c r="G2" s="6" t="b">
        <f>_xll.CALRelinkableHandleLinkTo(F2,F5)</f>
        <v>1</v>
      </c>
    </row>
    <row r="3" spans="1:8" x14ac:dyDescent="0.3">
      <c r="A3" s="7" t="s">
        <v>1</v>
      </c>
      <c r="B3" s="8">
        <v>41649</v>
      </c>
      <c r="C3" s="9"/>
      <c r="D3" s="39" t="s">
        <v>7</v>
      </c>
      <c r="E3" s="42"/>
      <c r="F3" s="10" t="str">
        <f>_xll.CALRelinkableHandleYieldTermStructure(D3,,,,TRUE)</f>
        <v>discountingTermStructure</v>
      </c>
      <c r="G3" s="11" t="b">
        <f>_xll.CALRelinkableHandleLinkTo(F3,F6)</f>
        <v>1</v>
      </c>
    </row>
    <row r="4" spans="1:8" x14ac:dyDescent="0.3">
      <c r="A4" s="7" t="s">
        <v>2</v>
      </c>
      <c r="B4" s="11" t="s">
        <v>34</v>
      </c>
      <c r="D4" s="39"/>
      <c r="E4" s="42" t="s">
        <v>23</v>
      </c>
      <c r="F4" s="10"/>
      <c r="G4" s="11"/>
      <c r="H4" s="9"/>
    </row>
    <row r="5" spans="1:8" x14ac:dyDescent="0.3">
      <c r="A5" s="7" t="s">
        <v>3</v>
      </c>
      <c r="B5" s="11" t="s">
        <v>35</v>
      </c>
      <c r="D5" s="39" t="s">
        <v>8</v>
      </c>
      <c r="E5" s="43">
        <v>4.8000000000000001E-2</v>
      </c>
      <c r="F5" s="10" t="str">
        <f>_xll.CALFlatForward(D5,,,E5,"Actual/360",,,,,TRUE)</f>
        <v>Forecasting Curve</v>
      </c>
      <c r="G5" s="11"/>
    </row>
    <row r="6" spans="1:8" x14ac:dyDescent="0.3">
      <c r="A6" s="7" t="s">
        <v>4</v>
      </c>
      <c r="B6" s="11" t="s">
        <v>35</v>
      </c>
      <c r="D6" s="39" t="s">
        <v>9</v>
      </c>
      <c r="E6" s="43">
        <v>4.7E-2</v>
      </c>
      <c r="F6" s="10" t="str">
        <f>_xll.CALFlatForward(D6,,,E6,"Actual/360",,,,,TRUE)</f>
        <v>Discounting Curve</v>
      </c>
      <c r="G6" s="11"/>
    </row>
    <row r="7" spans="1:8" x14ac:dyDescent="0.3">
      <c r="A7" s="12" t="s">
        <v>5</v>
      </c>
      <c r="B7" s="18">
        <v>0.05</v>
      </c>
      <c r="D7" s="40"/>
      <c r="E7" s="44"/>
      <c r="F7" s="13"/>
      <c r="G7" s="14"/>
    </row>
    <row r="8" spans="1:8" x14ac:dyDescent="0.3">
      <c r="A8" s="12" t="s">
        <v>13</v>
      </c>
      <c r="B8" s="15">
        <v>10000000</v>
      </c>
      <c r="D8" s="16"/>
      <c r="E8" s="10"/>
      <c r="F8" s="10"/>
    </row>
    <row r="9" spans="1:8" x14ac:dyDescent="0.3">
      <c r="A9" s="17" t="s">
        <v>12</v>
      </c>
      <c r="B9" s="14" t="s">
        <v>36</v>
      </c>
    </row>
    <row r="10" spans="1:8" x14ac:dyDescent="0.3">
      <c r="D10" s="1" t="s">
        <v>28</v>
      </c>
    </row>
    <row r="11" spans="1:8" x14ac:dyDescent="0.3">
      <c r="A11" s="1" t="s">
        <v>11</v>
      </c>
      <c r="D11" s="38" t="s">
        <v>15</v>
      </c>
      <c r="E11" s="6" t="s">
        <v>33</v>
      </c>
      <c r="G11" s="9"/>
    </row>
    <row r="12" spans="1:8" x14ac:dyDescent="0.3">
      <c r="A12" s="38" t="s">
        <v>14</v>
      </c>
      <c r="B12" s="6" t="s">
        <v>32</v>
      </c>
      <c r="D12" s="39"/>
      <c r="E12" s="11" t="str">
        <f>_xll.CALDiscountingSwapEngine(E11,D3,FALSE,,,,,TRUE)</f>
        <v>discountingSwapEngine</v>
      </c>
      <c r="G12" s="9"/>
    </row>
    <row r="13" spans="1:8" x14ac:dyDescent="0.3">
      <c r="A13" s="40"/>
      <c r="B13" s="14" t="str">
        <f>_xll.CALShiborSwap(B12,B9,B8,B3,B4,B5,B7,B6,D2,,,TRUE)</f>
        <v>Shibor5Y3MSwap</v>
      </c>
      <c r="D13" s="39"/>
      <c r="E13" s="11" t="b">
        <f>_xll.CALInstrumentSetPricingEngine(B12,E11)</f>
        <v>1</v>
      </c>
    </row>
    <row r="14" spans="1:8" x14ac:dyDescent="0.3">
      <c r="D14" s="40"/>
      <c r="E14" s="14"/>
    </row>
    <row r="16" spans="1:8" x14ac:dyDescent="0.3">
      <c r="D16" s="9"/>
      <c r="G16" s="9"/>
      <c r="H16" s="9"/>
    </row>
    <row r="17" spans="1:15" ht="20.25" x14ac:dyDescent="0.3">
      <c r="A17" s="22" t="s">
        <v>16</v>
      </c>
      <c r="D17" s="23" t="s">
        <v>24</v>
      </c>
      <c r="G17" s="9"/>
      <c r="H17" s="9"/>
    </row>
    <row r="18" spans="1:15" x14ac:dyDescent="0.3">
      <c r="A18" s="38" t="s">
        <v>17</v>
      </c>
      <c r="B18" s="19">
        <f>_xll.CALInstrumentNPV($B$12)</f>
        <v>-45827.241289282218</v>
      </c>
      <c r="C18" s="32" t="s">
        <v>25</v>
      </c>
      <c r="D18" s="24" t="str">
        <f t="array" ref="D18:O38">_xll.CALVanillaSwapFixedLegAnalysis($B$12)</f>
        <v>Payment Date</v>
      </c>
      <c r="E18" s="25" t="str">
        <v>Amount</v>
      </c>
      <c r="F18" s="25" t="str">
        <v>Nominal</v>
      </c>
      <c r="G18" s="26" t="str">
        <v>Accrual Start Date</v>
      </c>
      <c r="H18" s="26" t="str">
        <v>Accrual End Date</v>
      </c>
      <c r="I18" s="25" t="str">
        <v>Accrual Days</v>
      </c>
      <c r="J18" s="25" t="str">
        <v>Index</v>
      </c>
      <c r="K18" s="25" t="str">
        <v>Fixing Days</v>
      </c>
      <c r="L18" s="25" t="str">
        <v>Fixing Dates</v>
      </c>
      <c r="M18" s="25" t="str">
        <v>Day Counter</v>
      </c>
      <c r="N18" s="25" t="str">
        <v>Accrual Period</v>
      </c>
      <c r="O18" s="27" t="str">
        <v>Effective Rate</v>
      </c>
    </row>
    <row r="19" spans="1:15" x14ac:dyDescent="0.3">
      <c r="A19" s="39" t="s">
        <v>18</v>
      </c>
      <c r="B19" s="20">
        <f>_xll.CALSwapLegNPV($B$12,0)</f>
        <v>-2212030.6037461781</v>
      </c>
      <c r="D19" s="28">
        <v>41739</v>
      </c>
      <c r="E19" s="10">
        <v>123287.67123287676</v>
      </c>
      <c r="F19" s="10">
        <v>10000000</v>
      </c>
      <c r="G19" s="29">
        <v>41649</v>
      </c>
      <c r="H19" s="29">
        <v>41739</v>
      </c>
      <c r="I19" s="10">
        <v>90</v>
      </c>
      <c r="J19" s="10" t="str">
        <v>#N/A</v>
      </c>
      <c r="K19" s="10" t="str">
        <v>#N/A</v>
      </c>
      <c r="L19" s="10" t="str">
        <v>#N/A</v>
      </c>
      <c r="M19" s="10" t="str">
        <v>Actual/365 (Fixed)</v>
      </c>
      <c r="N19" s="35">
        <v>0.24657534246575341</v>
      </c>
      <c r="O19" s="18">
        <v>0.05</v>
      </c>
    </row>
    <row r="20" spans="1:15" x14ac:dyDescent="0.3">
      <c r="A20" s="39" t="s">
        <v>19</v>
      </c>
      <c r="B20" s="20">
        <f>_xll.CALSwapLegNPV($B$12,1)</f>
        <v>2166203.3624568959</v>
      </c>
      <c r="D20" s="28">
        <v>41830</v>
      </c>
      <c r="E20" s="10">
        <v>124657.534246575</v>
      </c>
      <c r="F20" s="10">
        <v>10000000</v>
      </c>
      <c r="G20" s="29">
        <v>41739</v>
      </c>
      <c r="H20" s="29">
        <v>41830</v>
      </c>
      <c r="I20" s="10">
        <v>91</v>
      </c>
      <c r="J20" s="10" t="str">
        <v>#N/A</v>
      </c>
      <c r="K20" s="10" t="str">
        <v>#N/A</v>
      </c>
      <c r="L20" s="10" t="str">
        <v>#N/A</v>
      </c>
      <c r="M20" s="10" t="str">
        <v>Actual/365 (Fixed)</v>
      </c>
      <c r="N20" s="35">
        <v>0.24931506849315069</v>
      </c>
      <c r="O20" s="18">
        <v>0.05</v>
      </c>
    </row>
    <row r="21" spans="1:15" x14ac:dyDescent="0.3">
      <c r="A21" s="39" t="s">
        <v>20</v>
      </c>
      <c r="B21" s="20">
        <f>_xll.CALSwapLegBPS($B$12,0)</f>
        <v>-4424.0612074923638</v>
      </c>
      <c r="D21" s="28">
        <v>41922</v>
      </c>
      <c r="E21" s="10">
        <v>126027.39726027324</v>
      </c>
      <c r="F21" s="10">
        <v>10000000</v>
      </c>
      <c r="G21" s="29">
        <v>41830</v>
      </c>
      <c r="H21" s="29">
        <v>41922</v>
      </c>
      <c r="I21" s="10">
        <v>92</v>
      </c>
      <c r="J21" s="10" t="str">
        <v>#N/A</v>
      </c>
      <c r="K21" s="10" t="str">
        <v>#N/A</v>
      </c>
      <c r="L21" s="10" t="str">
        <v>#N/A</v>
      </c>
      <c r="M21" s="10" t="str">
        <v>Actual/365 (Fixed)</v>
      </c>
      <c r="N21" s="35">
        <v>0.25205479452054796</v>
      </c>
      <c r="O21" s="18">
        <v>0.05</v>
      </c>
    </row>
    <row r="22" spans="1:15" x14ac:dyDescent="0.3">
      <c r="A22" s="39" t="s">
        <v>21</v>
      </c>
      <c r="B22" s="20">
        <f>_xll.CALSwapLegBPS($B$12,1)</f>
        <v>4485.5065020408683</v>
      </c>
      <c r="D22" s="28">
        <v>42016</v>
      </c>
      <c r="E22" s="10">
        <v>128767.12328767193</v>
      </c>
      <c r="F22" s="10">
        <v>10000000</v>
      </c>
      <c r="G22" s="29">
        <v>41922</v>
      </c>
      <c r="H22" s="29">
        <v>42016</v>
      </c>
      <c r="I22" s="10">
        <v>94</v>
      </c>
      <c r="J22" s="10" t="str">
        <v>#N/A</v>
      </c>
      <c r="K22" s="10" t="str">
        <v>#N/A</v>
      </c>
      <c r="L22" s="10" t="str">
        <v>#N/A</v>
      </c>
      <c r="M22" s="10" t="str">
        <v>Actual/365 (Fixed)</v>
      </c>
      <c r="N22" s="35">
        <v>0.25753424657534246</v>
      </c>
      <c r="O22" s="18">
        <v>0.05</v>
      </c>
    </row>
    <row r="23" spans="1:15" x14ac:dyDescent="0.3">
      <c r="A23" s="40" t="s">
        <v>22</v>
      </c>
      <c r="B23" s="21">
        <f>_xll.CALVanillaSwapFairRate(B12)</f>
        <v>4.896413636385339E-2</v>
      </c>
      <c r="D23" s="28">
        <v>42104</v>
      </c>
      <c r="E23" s="10">
        <v>120547.94520548028</v>
      </c>
      <c r="F23" s="10">
        <v>10000000</v>
      </c>
      <c r="G23" s="29">
        <v>42016</v>
      </c>
      <c r="H23" s="29">
        <v>42104</v>
      </c>
      <c r="I23" s="10">
        <v>88</v>
      </c>
      <c r="J23" s="10" t="str">
        <v>#N/A</v>
      </c>
      <c r="K23" s="10" t="str">
        <v>#N/A</v>
      </c>
      <c r="L23" s="10" t="str">
        <v>#N/A</v>
      </c>
      <c r="M23" s="10" t="str">
        <v>Actual/365 (Fixed)</v>
      </c>
      <c r="N23" s="35">
        <v>0.24109589041095891</v>
      </c>
      <c r="O23" s="18">
        <v>0.05</v>
      </c>
    </row>
    <row r="24" spans="1:15" x14ac:dyDescent="0.3">
      <c r="D24" s="28">
        <v>42195</v>
      </c>
      <c r="E24" s="10">
        <v>124657.534246575</v>
      </c>
      <c r="F24" s="10">
        <v>10000000</v>
      </c>
      <c r="G24" s="29">
        <v>42104</v>
      </c>
      <c r="H24" s="29">
        <v>42195</v>
      </c>
      <c r="I24" s="10">
        <v>91</v>
      </c>
      <c r="J24" s="10" t="str">
        <v>#N/A</v>
      </c>
      <c r="K24" s="10" t="str">
        <v>#N/A</v>
      </c>
      <c r="L24" s="10" t="str">
        <v>#N/A</v>
      </c>
      <c r="M24" s="10" t="str">
        <v>Actual/365 (Fixed)</v>
      </c>
      <c r="N24" s="35">
        <v>0.24931506849315069</v>
      </c>
      <c r="O24" s="18">
        <v>0.05</v>
      </c>
    </row>
    <row r="25" spans="1:15" x14ac:dyDescent="0.3">
      <c r="B25" s="2" t="str">
        <f>_xll.ohRangeRetrieveError(B18)</f>
        <v/>
      </c>
      <c r="D25" s="28">
        <v>42289</v>
      </c>
      <c r="E25" s="10">
        <v>128767.12328767193</v>
      </c>
      <c r="F25" s="10">
        <v>10000000</v>
      </c>
      <c r="G25" s="29">
        <v>42195</v>
      </c>
      <c r="H25" s="29">
        <v>42289</v>
      </c>
      <c r="I25" s="10">
        <v>94</v>
      </c>
      <c r="J25" s="10" t="str">
        <v>#N/A</v>
      </c>
      <c r="K25" s="10" t="str">
        <v>#N/A</v>
      </c>
      <c r="L25" s="10" t="str">
        <v>#N/A</v>
      </c>
      <c r="M25" s="10" t="str">
        <v>Actual/365 (Fixed)</v>
      </c>
      <c r="N25" s="35">
        <v>0.25753424657534246</v>
      </c>
      <c r="O25" s="18">
        <v>0.05</v>
      </c>
    </row>
    <row r="26" spans="1:15" x14ac:dyDescent="0.3">
      <c r="D26" s="28">
        <v>42380</v>
      </c>
      <c r="E26" s="10">
        <v>124657.534246575</v>
      </c>
      <c r="F26" s="10">
        <v>10000000</v>
      </c>
      <c r="G26" s="29">
        <v>42289</v>
      </c>
      <c r="H26" s="29">
        <v>42380</v>
      </c>
      <c r="I26" s="10">
        <v>91</v>
      </c>
      <c r="J26" s="10" t="str">
        <v>#N/A</v>
      </c>
      <c r="K26" s="10" t="str">
        <v>#N/A</v>
      </c>
      <c r="L26" s="10" t="str">
        <v>#N/A</v>
      </c>
      <c r="M26" s="10" t="str">
        <v>Actual/365 (Fixed)</v>
      </c>
      <c r="N26" s="35">
        <v>0.24931506849315069</v>
      </c>
      <c r="O26" s="18">
        <v>0.05</v>
      </c>
    </row>
    <row r="27" spans="1:15" x14ac:dyDescent="0.3">
      <c r="D27" s="28">
        <v>42471</v>
      </c>
      <c r="E27" s="10">
        <v>124657.534246575</v>
      </c>
      <c r="F27" s="10">
        <v>10000000</v>
      </c>
      <c r="G27" s="29">
        <v>42380</v>
      </c>
      <c r="H27" s="29">
        <v>42471</v>
      </c>
      <c r="I27" s="10">
        <v>91</v>
      </c>
      <c r="J27" s="10" t="str">
        <v>#N/A</v>
      </c>
      <c r="K27" s="10" t="str">
        <v>#N/A</v>
      </c>
      <c r="L27" s="10" t="str">
        <v>#N/A</v>
      </c>
      <c r="M27" s="10" t="str">
        <v>Actual/365 (Fixed)</v>
      </c>
      <c r="N27" s="35">
        <v>0.24931506849315069</v>
      </c>
      <c r="O27" s="18">
        <v>0.05</v>
      </c>
    </row>
    <row r="28" spans="1:15" x14ac:dyDescent="0.3">
      <c r="D28" s="28">
        <v>42562</v>
      </c>
      <c r="E28" s="10">
        <v>124657.534246575</v>
      </c>
      <c r="F28" s="10">
        <v>10000000</v>
      </c>
      <c r="G28" s="29">
        <v>42471</v>
      </c>
      <c r="H28" s="29">
        <v>42562</v>
      </c>
      <c r="I28" s="10">
        <v>91</v>
      </c>
      <c r="J28" s="10" t="str">
        <v>#N/A</v>
      </c>
      <c r="K28" s="10" t="str">
        <v>#N/A</v>
      </c>
      <c r="L28" s="10" t="str">
        <v>#N/A</v>
      </c>
      <c r="M28" s="10" t="str">
        <v>Actual/365 (Fixed)</v>
      </c>
      <c r="N28" s="35">
        <v>0.24931506849315069</v>
      </c>
      <c r="O28" s="18">
        <v>0.05</v>
      </c>
    </row>
    <row r="29" spans="1:15" x14ac:dyDescent="0.3">
      <c r="D29" s="28">
        <v>42653</v>
      </c>
      <c r="E29" s="10">
        <v>124657.534246575</v>
      </c>
      <c r="F29" s="10">
        <v>10000000</v>
      </c>
      <c r="G29" s="29">
        <v>42562</v>
      </c>
      <c r="H29" s="29">
        <v>42653</v>
      </c>
      <c r="I29" s="10">
        <v>91</v>
      </c>
      <c r="J29" s="10" t="str">
        <v>#N/A</v>
      </c>
      <c r="K29" s="10" t="str">
        <v>#N/A</v>
      </c>
      <c r="L29" s="10" t="str">
        <v>#N/A</v>
      </c>
      <c r="M29" s="10" t="str">
        <v>Actual/365 (Fixed)</v>
      </c>
      <c r="N29" s="35">
        <v>0.24931506849315069</v>
      </c>
      <c r="O29" s="18">
        <v>0.05</v>
      </c>
    </row>
    <row r="30" spans="1:15" x14ac:dyDescent="0.3">
      <c r="D30" s="28">
        <v>42745</v>
      </c>
      <c r="E30" s="10">
        <v>126027.39726027324</v>
      </c>
      <c r="F30" s="10">
        <v>10000000</v>
      </c>
      <c r="G30" s="29">
        <v>42653</v>
      </c>
      <c r="H30" s="29">
        <v>42745</v>
      </c>
      <c r="I30" s="10">
        <v>92</v>
      </c>
      <c r="J30" s="10" t="str">
        <v>#N/A</v>
      </c>
      <c r="K30" s="10" t="str">
        <v>#N/A</v>
      </c>
      <c r="L30" s="10" t="str">
        <v>#N/A</v>
      </c>
      <c r="M30" s="10" t="str">
        <v>Actual/365 (Fixed)</v>
      </c>
      <c r="N30" s="35">
        <v>0.25205479452054796</v>
      </c>
      <c r="O30" s="18">
        <v>0.05</v>
      </c>
    </row>
    <row r="31" spans="1:15" x14ac:dyDescent="0.3">
      <c r="D31" s="28">
        <v>42835</v>
      </c>
      <c r="E31" s="10">
        <v>123287.67123287676</v>
      </c>
      <c r="F31" s="10">
        <v>10000000</v>
      </c>
      <c r="G31" s="29">
        <v>42745</v>
      </c>
      <c r="H31" s="29">
        <v>42835</v>
      </c>
      <c r="I31" s="10">
        <v>90</v>
      </c>
      <c r="J31" s="10" t="str">
        <v>#N/A</v>
      </c>
      <c r="K31" s="10" t="str">
        <v>#N/A</v>
      </c>
      <c r="L31" s="29" t="str">
        <v>#N/A</v>
      </c>
      <c r="M31" s="10" t="str">
        <v>Actual/365 (Fixed)</v>
      </c>
      <c r="N31" s="35">
        <v>0.24657534246575341</v>
      </c>
      <c r="O31" s="18">
        <v>0.05</v>
      </c>
    </row>
    <row r="32" spans="1:15" x14ac:dyDescent="0.3">
      <c r="D32" s="28">
        <v>42926</v>
      </c>
      <c r="E32" s="10">
        <v>124657.534246575</v>
      </c>
      <c r="F32" s="10">
        <v>10000000</v>
      </c>
      <c r="G32" s="29">
        <v>42835</v>
      </c>
      <c r="H32" s="29">
        <v>42926</v>
      </c>
      <c r="I32" s="10">
        <v>91</v>
      </c>
      <c r="J32" s="10" t="str">
        <v>#N/A</v>
      </c>
      <c r="K32" s="10" t="str">
        <v>#N/A</v>
      </c>
      <c r="L32" s="29" t="str">
        <v>#N/A</v>
      </c>
      <c r="M32" s="10" t="str">
        <v>Actual/365 (Fixed)</v>
      </c>
      <c r="N32" s="35">
        <v>0.24931506849315069</v>
      </c>
      <c r="O32" s="18">
        <v>0.05</v>
      </c>
    </row>
    <row r="33" spans="3:15" x14ac:dyDescent="0.3">
      <c r="D33" s="28">
        <v>43018</v>
      </c>
      <c r="E33" s="10">
        <v>126027.39726027324</v>
      </c>
      <c r="F33" s="10">
        <v>10000000</v>
      </c>
      <c r="G33" s="29">
        <v>42926</v>
      </c>
      <c r="H33" s="29">
        <v>43018</v>
      </c>
      <c r="I33" s="10">
        <v>92</v>
      </c>
      <c r="J33" s="10" t="str">
        <v>#N/A</v>
      </c>
      <c r="K33" s="10" t="str">
        <v>#N/A</v>
      </c>
      <c r="L33" s="29" t="str">
        <v>#N/A</v>
      </c>
      <c r="M33" s="10" t="str">
        <v>Actual/365 (Fixed)</v>
      </c>
      <c r="N33" s="35">
        <v>0.25205479452054796</v>
      </c>
      <c r="O33" s="18">
        <v>0.05</v>
      </c>
    </row>
    <row r="34" spans="3:15" x14ac:dyDescent="0.3">
      <c r="D34" s="28">
        <v>43110</v>
      </c>
      <c r="E34" s="10">
        <v>126027.39726027324</v>
      </c>
      <c r="F34" s="10">
        <v>10000000</v>
      </c>
      <c r="G34" s="29">
        <v>43018</v>
      </c>
      <c r="H34" s="29">
        <v>43110</v>
      </c>
      <c r="I34" s="10">
        <v>92</v>
      </c>
      <c r="J34" s="10" t="str">
        <v>#N/A</v>
      </c>
      <c r="K34" s="10" t="str">
        <v>#N/A</v>
      </c>
      <c r="L34" s="29" t="str">
        <v>#N/A</v>
      </c>
      <c r="M34" s="10" t="str">
        <v>Actual/365 (Fixed)</v>
      </c>
      <c r="N34" s="35">
        <v>0.25205479452054796</v>
      </c>
      <c r="O34" s="18">
        <v>0.05</v>
      </c>
    </row>
    <row r="35" spans="3:15" x14ac:dyDescent="0.3">
      <c r="D35" s="28">
        <v>43200</v>
      </c>
      <c r="E35" s="10">
        <v>123287.67123287676</v>
      </c>
      <c r="F35" s="10">
        <v>10000000</v>
      </c>
      <c r="G35" s="29">
        <v>43110</v>
      </c>
      <c r="H35" s="29">
        <v>43200</v>
      </c>
      <c r="I35" s="10">
        <v>90</v>
      </c>
      <c r="J35" s="10" t="str">
        <v>#N/A</v>
      </c>
      <c r="K35" s="10" t="str">
        <v>#N/A</v>
      </c>
      <c r="L35" s="29" t="str">
        <v>#N/A</v>
      </c>
      <c r="M35" s="10" t="str">
        <v>Actual/365 (Fixed)</v>
      </c>
      <c r="N35" s="35">
        <v>0.24657534246575341</v>
      </c>
      <c r="O35" s="18">
        <v>0.05</v>
      </c>
    </row>
    <row r="36" spans="3:15" x14ac:dyDescent="0.3">
      <c r="D36" s="28">
        <v>43291</v>
      </c>
      <c r="E36" s="10">
        <v>124657.534246575</v>
      </c>
      <c r="F36" s="10">
        <v>10000000</v>
      </c>
      <c r="G36" s="29">
        <v>43200</v>
      </c>
      <c r="H36" s="29">
        <v>43291</v>
      </c>
      <c r="I36" s="10">
        <v>91</v>
      </c>
      <c r="J36" s="10" t="str">
        <v>#N/A</v>
      </c>
      <c r="K36" s="10" t="str">
        <v>#N/A</v>
      </c>
      <c r="L36" s="29" t="str">
        <v>#N/A</v>
      </c>
      <c r="M36" s="10" t="str">
        <v>Actual/365 (Fixed)</v>
      </c>
      <c r="N36" s="35">
        <v>0.24931506849315069</v>
      </c>
      <c r="O36" s="18">
        <v>0.05</v>
      </c>
    </row>
    <row r="37" spans="3:15" x14ac:dyDescent="0.3">
      <c r="D37" s="28">
        <v>43383</v>
      </c>
      <c r="E37" s="10">
        <v>126027.39726027324</v>
      </c>
      <c r="F37" s="10">
        <v>10000000</v>
      </c>
      <c r="G37" s="29">
        <v>43291</v>
      </c>
      <c r="H37" s="29">
        <v>43383</v>
      </c>
      <c r="I37" s="10">
        <v>92</v>
      </c>
      <c r="J37" s="10" t="str">
        <v>#N/A</v>
      </c>
      <c r="K37" s="10" t="str">
        <v>#N/A</v>
      </c>
      <c r="L37" s="29" t="str">
        <v>#N/A</v>
      </c>
      <c r="M37" s="10" t="str">
        <v>Actual/365 (Fixed)</v>
      </c>
      <c r="N37" s="35">
        <v>0.25205479452054796</v>
      </c>
      <c r="O37" s="18">
        <v>0.05</v>
      </c>
    </row>
    <row r="38" spans="3:15" x14ac:dyDescent="0.3">
      <c r="D38" s="30">
        <v>43475</v>
      </c>
      <c r="E38" s="13">
        <v>126027.39726027324</v>
      </c>
      <c r="F38" s="13">
        <v>10000000</v>
      </c>
      <c r="G38" s="31">
        <v>43383</v>
      </c>
      <c r="H38" s="31">
        <v>43475</v>
      </c>
      <c r="I38" s="13">
        <v>92</v>
      </c>
      <c r="J38" s="13" t="str">
        <v>#N/A</v>
      </c>
      <c r="K38" s="13" t="str">
        <v>#N/A</v>
      </c>
      <c r="L38" s="31" t="str">
        <v>#N/A</v>
      </c>
      <c r="M38" s="13" t="str">
        <v>Actual/365 (Fixed)</v>
      </c>
      <c r="N38" s="36">
        <v>0.25205479452054796</v>
      </c>
      <c r="O38" s="21">
        <v>0.05</v>
      </c>
    </row>
    <row r="39" spans="3:15" x14ac:dyDescent="0.3">
      <c r="D39" s="9"/>
      <c r="G39" s="9"/>
      <c r="H39" s="9"/>
      <c r="L39" s="9"/>
    </row>
    <row r="40" spans="3:15" x14ac:dyDescent="0.3">
      <c r="G40" s="9"/>
      <c r="H40" s="9"/>
      <c r="L40" s="9"/>
    </row>
    <row r="41" spans="3:15" x14ac:dyDescent="0.3">
      <c r="C41" s="32" t="s">
        <v>26</v>
      </c>
      <c r="D41" s="24" t="str">
        <f t="array" ref="D41:O61">_xll.CALVanillaSwapFloatingLegAnalysis($B$12)</f>
        <v>Payment Date</v>
      </c>
      <c r="E41" s="25" t="str">
        <v>Amount</v>
      </c>
      <c r="F41" s="25" t="str">
        <v>Nominal</v>
      </c>
      <c r="G41" s="26" t="str">
        <v>Accrual Start Date</v>
      </c>
      <c r="H41" s="26" t="str">
        <v>Accrual End Date</v>
      </c>
      <c r="I41" s="25" t="str">
        <v>Accrual Days</v>
      </c>
      <c r="J41" s="25" t="str">
        <v>Index</v>
      </c>
      <c r="K41" s="25" t="str">
        <v>Fixing Days</v>
      </c>
      <c r="L41" s="25" t="str">
        <v>Fixing Dates</v>
      </c>
      <c r="M41" s="25" t="str">
        <v>Day Counter</v>
      </c>
      <c r="N41" s="25" t="str">
        <v>Accrual Period</v>
      </c>
      <c r="O41" s="27" t="str">
        <v>Effective Rate</v>
      </c>
    </row>
    <row r="42" spans="3:15" x14ac:dyDescent="0.3">
      <c r="D42" s="28">
        <v>41739</v>
      </c>
      <c r="E42" s="33">
        <v>120722.88866077807</v>
      </c>
      <c r="F42" s="10">
        <v>10000000</v>
      </c>
      <c r="G42" s="29">
        <v>41649</v>
      </c>
      <c r="H42" s="29">
        <v>41739</v>
      </c>
      <c r="I42" s="10">
        <v>90</v>
      </c>
      <c r="J42" s="10" t="str">
        <v>shibor3M Actual/360</v>
      </c>
      <c r="K42" s="10">
        <v>1</v>
      </c>
      <c r="L42" s="29">
        <v>41648</v>
      </c>
      <c r="M42" s="10" t="str">
        <v>Actual/360</v>
      </c>
      <c r="N42" s="33">
        <v>0.25</v>
      </c>
      <c r="O42" s="18">
        <v>4.8289155464311229E-2</v>
      </c>
    </row>
    <row r="43" spans="3:15" x14ac:dyDescent="0.3">
      <c r="D43" s="28">
        <v>41830</v>
      </c>
      <c r="E43" s="33">
        <v>122072.40834524402</v>
      </c>
      <c r="F43" s="10">
        <v>10000000</v>
      </c>
      <c r="G43" s="29">
        <v>41739</v>
      </c>
      <c r="H43" s="29">
        <v>41830</v>
      </c>
      <c r="I43" s="10">
        <v>91</v>
      </c>
      <c r="J43" s="10" t="str">
        <v>shibor3M Actual/360</v>
      </c>
      <c r="K43" s="10">
        <v>1</v>
      </c>
      <c r="L43" s="29">
        <v>41738</v>
      </c>
      <c r="M43" s="10" t="str">
        <v>Actual/360</v>
      </c>
      <c r="N43" s="33">
        <v>0.25277777777777777</v>
      </c>
      <c r="O43" s="18">
        <v>4.8292381323393238E-2</v>
      </c>
    </row>
    <row r="44" spans="3:15" x14ac:dyDescent="0.3">
      <c r="D44" s="28">
        <v>41922</v>
      </c>
      <c r="E44" s="33">
        <v>123422.1079776665</v>
      </c>
      <c r="F44" s="10">
        <v>10000000</v>
      </c>
      <c r="G44" s="29">
        <v>41830</v>
      </c>
      <c r="H44" s="29">
        <v>41922</v>
      </c>
      <c r="I44" s="10">
        <v>92</v>
      </c>
      <c r="J44" s="10" t="str">
        <v>shibor3M Actual/360</v>
      </c>
      <c r="K44" s="10">
        <v>1</v>
      </c>
      <c r="L44" s="29">
        <v>41829</v>
      </c>
      <c r="M44" s="10" t="str">
        <v>Actual/360</v>
      </c>
      <c r="N44" s="33">
        <v>0.25555555555555554</v>
      </c>
      <c r="O44" s="18">
        <v>4.8295607469521683E-2</v>
      </c>
    </row>
    <row r="45" spans="3:15" x14ac:dyDescent="0.3">
      <c r="D45" s="28">
        <v>42016</v>
      </c>
      <c r="E45" s="33">
        <v>126122.04718235764</v>
      </c>
      <c r="F45" s="10">
        <v>10000000</v>
      </c>
      <c r="G45" s="29">
        <v>41922</v>
      </c>
      <c r="H45" s="29">
        <v>42016</v>
      </c>
      <c r="I45" s="10">
        <v>94</v>
      </c>
      <c r="J45" s="10" t="str">
        <v>shibor3M Actual/360</v>
      </c>
      <c r="K45" s="10">
        <v>1</v>
      </c>
      <c r="L45" s="29">
        <v>41921</v>
      </c>
      <c r="M45" s="10" t="str">
        <v>Actual/360</v>
      </c>
      <c r="N45" s="33">
        <v>0.26111111111111113</v>
      </c>
      <c r="O45" s="18">
        <v>4.8302060623030586E-2</v>
      </c>
    </row>
    <row r="46" spans="3:15" x14ac:dyDescent="0.3">
      <c r="D46" s="28">
        <v>42104</v>
      </c>
      <c r="E46" s="33">
        <v>118024.38903974145</v>
      </c>
      <c r="F46" s="10">
        <v>10000000</v>
      </c>
      <c r="G46" s="29">
        <v>42016</v>
      </c>
      <c r="H46" s="29">
        <v>42104</v>
      </c>
      <c r="I46" s="10">
        <v>88</v>
      </c>
      <c r="J46" s="10" t="str">
        <v>shibor3M Actual/360</v>
      </c>
      <c r="K46" s="10">
        <v>1</v>
      </c>
      <c r="L46" s="29">
        <v>42013</v>
      </c>
      <c r="M46" s="10" t="str">
        <v>Actual/360</v>
      </c>
      <c r="N46" s="33">
        <v>0.24444444444444444</v>
      </c>
      <c r="O46" s="18">
        <v>4.8282704607166958E-2</v>
      </c>
    </row>
    <row r="47" spans="3:15" x14ac:dyDescent="0.3">
      <c r="D47" s="28">
        <v>42195</v>
      </c>
      <c r="E47" s="33">
        <v>122072.40834524624</v>
      </c>
      <c r="F47" s="10">
        <v>10000000</v>
      </c>
      <c r="G47" s="29">
        <v>42104</v>
      </c>
      <c r="H47" s="29">
        <v>42195</v>
      </c>
      <c r="I47" s="10">
        <v>91</v>
      </c>
      <c r="J47" s="10" t="str">
        <v>shibor3M Actual/360</v>
      </c>
      <c r="K47" s="10">
        <v>1</v>
      </c>
      <c r="L47" s="29">
        <v>42103</v>
      </c>
      <c r="M47" s="10" t="str">
        <v>Actual/360</v>
      </c>
      <c r="N47" s="33">
        <v>0.25277777777777777</v>
      </c>
      <c r="O47" s="18">
        <v>4.8292381323394119E-2</v>
      </c>
    </row>
    <row r="48" spans="3:15" x14ac:dyDescent="0.3">
      <c r="D48" s="28">
        <v>42289</v>
      </c>
      <c r="E48" s="33">
        <v>126122.04718235543</v>
      </c>
      <c r="F48" s="10">
        <v>10000000</v>
      </c>
      <c r="G48" s="29">
        <v>42195</v>
      </c>
      <c r="H48" s="29">
        <v>42289</v>
      </c>
      <c r="I48" s="10">
        <v>94</v>
      </c>
      <c r="J48" s="10" t="str">
        <v>shibor3M Actual/360</v>
      </c>
      <c r="K48" s="10">
        <v>1</v>
      </c>
      <c r="L48" s="29">
        <v>42194</v>
      </c>
      <c r="M48" s="10" t="str">
        <v>Actual/360</v>
      </c>
      <c r="N48" s="33">
        <v>0.26111111111111113</v>
      </c>
      <c r="O48" s="18">
        <v>4.8302060623029733E-2</v>
      </c>
    </row>
    <row r="49" spans="4:15" x14ac:dyDescent="0.3">
      <c r="D49" s="28">
        <v>42380</v>
      </c>
      <c r="E49" s="33">
        <v>122072.40834524624</v>
      </c>
      <c r="F49" s="10">
        <v>10000000</v>
      </c>
      <c r="G49" s="29">
        <v>42289</v>
      </c>
      <c r="H49" s="29">
        <v>42380</v>
      </c>
      <c r="I49" s="10">
        <v>91</v>
      </c>
      <c r="J49" s="10" t="str">
        <v>shibor3M Actual/360</v>
      </c>
      <c r="K49" s="10">
        <v>1</v>
      </c>
      <c r="L49" s="29">
        <v>42286</v>
      </c>
      <c r="M49" s="10" t="str">
        <v>Actual/360</v>
      </c>
      <c r="N49" s="33">
        <v>0.25277777777777777</v>
      </c>
      <c r="O49" s="18">
        <v>4.8292381323394119E-2</v>
      </c>
    </row>
    <row r="50" spans="4:15" x14ac:dyDescent="0.3">
      <c r="D50" s="28">
        <v>42471</v>
      </c>
      <c r="E50" s="33">
        <v>122072.40834524402</v>
      </c>
      <c r="F50" s="10">
        <v>10000000</v>
      </c>
      <c r="G50" s="29">
        <v>42380</v>
      </c>
      <c r="H50" s="29">
        <v>42471</v>
      </c>
      <c r="I50" s="10">
        <v>91</v>
      </c>
      <c r="J50" s="10" t="str">
        <v>shibor3M Actual/360</v>
      </c>
      <c r="K50" s="10">
        <v>1</v>
      </c>
      <c r="L50" s="29">
        <v>42377</v>
      </c>
      <c r="M50" s="10" t="str">
        <v>Actual/360</v>
      </c>
      <c r="N50" s="33">
        <v>0.25277777777777777</v>
      </c>
      <c r="O50" s="18">
        <v>4.8292381323393238E-2</v>
      </c>
    </row>
    <row r="51" spans="4:15" x14ac:dyDescent="0.3">
      <c r="D51" s="28">
        <v>42562</v>
      </c>
      <c r="E51" s="33">
        <v>122072.40834524624</v>
      </c>
      <c r="F51" s="10">
        <v>10000000</v>
      </c>
      <c r="G51" s="29">
        <v>42471</v>
      </c>
      <c r="H51" s="29">
        <v>42562</v>
      </c>
      <c r="I51" s="10">
        <v>91</v>
      </c>
      <c r="J51" s="10" t="str">
        <v>shibor3M Actual/360</v>
      </c>
      <c r="K51" s="10">
        <v>1</v>
      </c>
      <c r="L51" s="29">
        <v>42468</v>
      </c>
      <c r="M51" s="10" t="str">
        <v>Actual/360</v>
      </c>
      <c r="N51" s="33">
        <v>0.25277777777777777</v>
      </c>
      <c r="O51" s="18">
        <v>4.8292381323394119E-2</v>
      </c>
    </row>
    <row r="52" spans="4:15" x14ac:dyDescent="0.3">
      <c r="D52" s="28">
        <v>42653</v>
      </c>
      <c r="E52" s="33">
        <v>122072.40834524627</v>
      </c>
      <c r="F52" s="10">
        <v>10000000</v>
      </c>
      <c r="G52" s="29">
        <v>42562</v>
      </c>
      <c r="H52" s="29">
        <v>42653</v>
      </c>
      <c r="I52" s="10">
        <v>91</v>
      </c>
      <c r="J52" s="10" t="str">
        <v>shibor3M Actual/360</v>
      </c>
      <c r="K52" s="10">
        <v>1</v>
      </c>
      <c r="L52" s="29">
        <v>42559</v>
      </c>
      <c r="M52" s="10" t="str">
        <v>Actual/360</v>
      </c>
      <c r="N52" s="33">
        <v>0.25277777777777777</v>
      </c>
      <c r="O52" s="18">
        <v>4.8292381323394126E-2</v>
      </c>
    </row>
    <row r="53" spans="4:15" x14ac:dyDescent="0.3">
      <c r="D53" s="28">
        <v>42745</v>
      </c>
      <c r="E53" s="33">
        <v>123422.1079776665</v>
      </c>
      <c r="F53" s="10">
        <v>10000000</v>
      </c>
      <c r="G53" s="29">
        <v>42653</v>
      </c>
      <c r="H53" s="29">
        <v>42745</v>
      </c>
      <c r="I53" s="10">
        <v>92</v>
      </c>
      <c r="J53" s="10" t="str">
        <v>shibor3M Actual/360</v>
      </c>
      <c r="K53" s="10">
        <v>1</v>
      </c>
      <c r="L53" s="29">
        <v>42650</v>
      </c>
      <c r="M53" s="10" t="str">
        <v>Actual/360</v>
      </c>
      <c r="N53" s="33">
        <v>0.25555555555555554</v>
      </c>
      <c r="O53" s="18">
        <v>4.8295607469521683E-2</v>
      </c>
    </row>
    <row r="54" spans="4:15" x14ac:dyDescent="0.3">
      <c r="D54" s="28">
        <v>42835</v>
      </c>
      <c r="E54" s="33">
        <v>120722.88866077807</v>
      </c>
      <c r="F54" s="10">
        <v>10000000</v>
      </c>
      <c r="G54" s="29">
        <v>42745</v>
      </c>
      <c r="H54" s="29">
        <v>42835</v>
      </c>
      <c r="I54" s="10">
        <v>90</v>
      </c>
      <c r="J54" s="10" t="str">
        <v>shibor3M Actual/360</v>
      </c>
      <c r="K54" s="10">
        <v>1</v>
      </c>
      <c r="L54" s="29">
        <v>42744</v>
      </c>
      <c r="M54" s="10" t="str">
        <v>Actual/360</v>
      </c>
      <c r="N54" s="33">
        <v>0.25</v>
      </c>
      <c r="O54" s="18">
        <v>4.8289155464311229E-2</v>
      </c>
    </row>
    <row r="55" spans="4:15" x14ac:dyDescent="0.3">
      <c r="D55" s="28">
        <v>42926</v>
      </c>
      <c r="E55" s="33">
        <v>122072.40834524624</v>
      </c>
      <c r="F55" s="10">
        <v>10000000</v>
      </c>
      <c r="G55" s="29">
        <v>42835</v>
      </c>
      <c r="H55" s="29">
        <v>42926</v>
      </c>
      <c r="I55" s="10">
        <v>91</v>
      </c>
      <c r="J55" s="10" t="str">
        <v>shibor3M Actual/360</v>
      </c>
      <c r="K55" s="10">
        <v>1</v>
      </c>
      <c r="L55" s="29">
        <v>42832</v>
      </c>
      <c r="M55" s="10" t="str">
        <v>Actual/360</v>
      </c>
      <c r="N55" s="33">
        <v>0.25277777777777777</v>
      </c>
      <c r="O55" s="18">
        <v>4.8292381323394119E-2</v>
      </c>
    </row>
    <row r="56" spans="4:15" x14ac:dyDescent="0.3">
      <c r="D56" s="28">
        <v>43018</v>
      </c>
      <c r="E56" s="33">
        <v>123422.10797766648</v>
      </c>
      <c r="F56" s="10">
        <v>10000000</v>
      </c>
      <c r="G56" s="29">
        <v>42926</v>
      </c>
      <c r="H56" s="29">
        <v>43018</v>
      </c>
      <c r="I56" s="10">
        <v>92</v>
      </c>
      <c r="J56" s="10" t="str">
        <v>shibor3M Actual/360</v>
      </c>
      <c r="K56" s="10">
        <v>1</v>
      </c>
      <c r="L56" s="29">
        <v>42923</v>
      </c>
      <c r="M56" s="10" t="str">
        <v>Actual/360</v>
      </c>
      <c r="N56" s="33">
        <v>0.25555555555555554</v>
      </c>
      <c r="O56" s="18">
        <v>4.8295607469521676E-2</v>
      </c>
    </row>
    <row r="57" spans="4:15" x14ac:dyDescent="0.3">
      <c r="D57" s="28">
        <v>43110</v>
      </c>
      <c r="E57" s="33">
        <v>123422.10797766648</v>
      </c>
      <c r="F57" s="10">
        <v>10000000</v>
      </c>
      <c r="G57" s="29">
        <v>43018</v>
      </c>
      <c r="H57" s="29">
        <v>43110</v>
      </c>
      <c r="I57" s="10">
        <v>92</v>
      </c>
      <c r="J57" s="10" t="str">
        <v>shibor3M Actual/360</v>
      </c>
      <c r="K57" s="10">
        <v>1</v>
      </c>
      <c r="L57" s="29">
        <v>43017</v>
      </c>
      <c r="M57" s="10" t="str">
        <v>Actual/360</v>
      </c>
      <c r="N57" s="33">
        <v>0.25555555555555554</v>
      </c>
      <c r="O57" s="18">
        <v>4.8295607469521676E-2</v>
      </c>
    </row>
    <row r="58" spans="4:15" x14ac:dyDescent="0.3">
      <c r="D58" s="28">
        <v>43200</v>
      </c>
      <c r="E58" s="33">
        <v>120722.88866077807</v>
      </c>
      <c r="F58" s="10">
        <v>10000000</v>
      </c>
      <c r="G58" s="29">
        <v>43110</v>
      </c>
      <c r="H58" s="29">
        <v>43200</v>
      </c>
      <c r="I58" s="10">
        <v>90</v>
      </c>
      <c r="J58" s="10" t="str">
        <v>shibor3M Actual/360</v>
      </c>
      <c r="K58" s="10">
        <v>1</v>
      </c>
      <c r="L58" s="29">
        <v>43109</v>
      </c>
      <c r="M58" s="10" t="str">
        <v>Actual/360</v>
      </c>
      <c r="N58" s="33">
        <v>0.25</v>
      </c>
      <c r="O58" s="18">
        <v>4.8289155464311229E-2</v>
      </c>
    </row>
    <row r="59" spans="4:15" x14ac:dyDescent="0.3">
      <c r="D59" s="28">
        <v>43291</v>
      </c>
      <c r="E59" s="33">
        <v>122072.40834524624</v>
      </c>
      <c r="F59" s="10">
        <v>10000000</v>
      </c>
      <c r="G59" s="29">
        <v>43200</v>
      </c>
      <c r="H59" s="29">
        <v>43291</v>
      </c>
      <c r="I59" s="10">
        <v>91</v>
      </c>
      <c r="J59" s="10" t="str">
        <v>shibor3M Actual/360</v>
      </c>
      <c r="K59" s="10">
        <v>1</v>
      </c>
      <c r="L59" s="29">
        <v>43199</v>
      </c>
      <c r="M59" s="10" t="str">
        <v>Actual/360</v>
      </c>
      <c r="N59" s="33">
        <v>0.25277777777777777</v>
      </c>
      <c r="O59" s="18">
        <v>4.8292381323394119E-2</v>
      </c>
    </row>
    <row r="60" spans="4:15" x14ac:dyDescent="0.3">
      <c r="D60" s="28">
        <v>43383</v>
      </c>
      <c r="E60" s="33">
        <v>123422.1079776665</v>
      </c>
      <c r="F60" s="10">
        <v>10000000</v>
      </c>
      <c r="G60" s="29">
        <v>43291</v>
      </c>
      <c r="H60" s="29">
        <v>43383</v>
      </c>
      <c r="I60" s="10">
        <v>92</v>
      </c>
      <c r="J60" s="10" t="str">
        <v>shibor3M Actual/360</v>
      </c>
      <c r="K60" s="10">
        <v>1</v>
      </c>
      <c r="L60" s="29">
        <v>43290</v>
      </c>
      <c r="M60" s="10" t="str">
        <v>Actual/360</v>
      </c>
      <c r="N60" s="33">
        <v>0.25555555555555554</v>
      </c>
      <c r="O60" s="18">
        <v>4.8295607469521683E-2</v>
      </c>
    </row>
    <row r="61" spans="4:15" x14ac:dyDescent="0.3">
      <c r="D61" s="30">
        <v>43475</v>
      </c>
      <c r="E61" s="34">
        <v>123422.10797766648</v>
      </c>
      <c r="F61" s="13">
        <v>10000000</v>
      </c>
      <c r="G61" s="31">
        <v>43383</v>
      </c>
      <c r="H61" s="31">
        <v>43475</v>
      </c>
      <c r="I61" s="13">
        <v>92</v>
      </c>
      <c r="J61" s="13" t="str">
        <v>shibor3M Actual/360</v>
      </c>
      <c r="K61" s="13">
        <v>1</v>
      </c>
      <c r="L61" s="31">
        <v>43382</v>
      </c>
      <c r="M61" s="13" t="str">
        <v>Actual/360</v>
      </c>
      <c r="N61" s="34">
        <v>0.25555555555555554</v>
      </c>
      <c r="O61" s="21">
        <v>4.8295607469521676E-2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60"/>
  <sheetViews>
    <sheetView showGridLines="0" tabSelected="1" workbookViewId="0">
      <selection activeCell="E13" sqref="E13"/>
    </sheetView>
  </sheetViews>
  <sheetFormatPr defaultRowHeight="16.5" x14ac:dyDescent="0.3"/>
  <cols>
    <col min="1" max="1" width="15.42578125" style="2" bestFit="1" customWidth="1"/>
    <col min="2" max="2" width="18.5703125" style="2" customWidth="1"/>
    <col min="3" max="3" width="26" style="2" customWidth="1"/>
    <col min="4" max="4" width="27.85546875" style="2" bestFit="1" customWidth="1"/>
    <col min="5" max="6" width="30.7109375" style="2" bestFit="1" customWidth="1"/>
    <col min="7" max="7" width="20.42578125" style="2" bestFit="1" customWidth="1"/>
    <col min="8" max="8" width="20" style="2" bestFit="1" customWidth="1"/>
    <col min="9" max="9" width="14.85546875" style="2" bestFit="1" customWidth="1"/>
    <col min="10" max="10" width="24.85546875" style="2" bestFit="1" customWidth="1"/>
    <col min="11" max="11" width="13.5703125" style="2" bestFit="1" customWidth="1"/>
    <col min="12" max="12" width="14.28515625" style="2" bestFit="1" customWidth="1"/>
    <col min="13" max="13" width="20.28515625" style="2" customWidth="1"/>
    <col min="14" max="14" width="16.42578125" style="2" bestFit="1" customWidth="1"/>
    <col min="15" max="15" width="15.85546875" style="2" bestFit="1" customWidth="1"/>
    <col min="16" max="16384" width="9.140625" style="2"/>
  </cols>
  <sheetData>
    <row r="1" spans="1:8" x14ac:dyDescent="0.3">
      <c r="A1" s="1" t="s">
        <v>10</v>
      </c>
      <c r="B1" s="2" t="b">
        <f>_xll.CALSettingsSetEvaluationDate(B2)</f>
        <v>1</v>
      </c>
      <c r="D1" s="1" t="s">
        <v>27</v>
      </c>
    </row>
    <row r="2" spans="1:8" x14ac:dyDescent="0.3">
      <c r="A2" s="3" t="s">
        <v>0</v>
      </c>
      <c r="B2" s="4">
        <v>41648</v>
      </c>
      <c r="D2" s="38" t="s">
        <v>6</v>
      </c>
      <c r="E2" s="41"/>
      <c r="F2" s="5" t="str">
        <f>_xll.CALRelinkableHandleYieldTermStructure(D2,,,,TRUE)</f>
        <v>forecastingTermStructure</v>
      </c>
      <c r="G2" s="6" t="b">
        <f>_xll.CALRelinkableHandleLinkTo(F2,F5)</f>
        <v>1</v>
      </c>
    </row>
    <row r="3" spans="1:8" x14ac:dyDescent="0.3">
      <c r="A3" s="7" t="s">
        <v>1</v>
      </c>
      <c r="B3" s="8">
        <v>41650</v>
      </c>
      <c r="C3" s="9"/>
      <c r="D3" s="39" t="s">
        <v>7</v>
      </c>
      <c r="E3" s="42"/>
      <c r="F3" s="10" t="str">
        <f>_xll.CALRelinkableHandleYieldTermStructure(D3,,,,TRUE)</f>
        <v>discountingTermStructure</v>
      </c>
      <c r="G3" s="11" t="b">
        <f>_xll.CALRelinkableHandleLinkTo(F3,F6)</f>
        <v>1</v>
      </c>
    </row>
    <row r="4" spans="1:8" x14ac:dyDescent="0.3">
      <c r="A4" s="7" t="s">
        <v>2</v>
      </c>
      <c r="B4" s="11" t="s">
        <v>34</v>
      </c>
      <c r="D4" s="39"/>
      <c r="E4" s="42" t="s">
        <v>23</v>
      </c>
      <c r="F4" s="10"/>
      <c r="G4" s="11"/>
      <c r="H4" s="9"/>
    </row>
    <row r="5" spans="1:8" x14ac:dyDescent="0.3">
      <c r="A5" s="7" t="s">
        <v>29</v>
      </c>
      <c r="B5" s="11" t="s">
        <v>35</v>
      </c>
      <c r="D5" s="39" t="s">
        <v>8</v>
      </c>
      <c r="E5" s="43">
        <v>0.12</v>
      </c>
      <c r="F5" s="10" t="str">
        <f>_xll.CALFlatForward(D5,,,E5,"Actual/360",,,,,TRUE)</f>
        <v>Forecasting Curve</v>
      </c>
      <c r="G5" s="11"/>
    </row>
    <row r="6" spans="1:8" x14ac:dyDescent="0.3">
      <c r="A6" s="12" t="s">
        <v>5</v>
      </c>
      <c r="B6" s="18">
        <v>0.05</v>
      </c>
      <c r="D6" s="39" t="s">
        <v>9</v>
      </c>
      <c r="E6" s="43">
        <v>4.7E-2</v>
      </c>
      <c r="F6" s="10" t="str">
        <f>_xll.CALFlatForward(D6,,,E6,"Actual/360",,,,,TRUE)</f>
        <v>Discounting Curve</v>
      </c>
      <c r="G6" s="11"/>
    </row>
    <row r="7" spans="1:8" x14ac:dyDescent="0.3">
      <c r="A7" s="12" t="s">
        <v>13</v>
      </c>
      <c r="B7" s="15">
        <v>10000000</v>
      </c>
      <c r="D7" s="40"/>
      <c r="E7" s="44"/>
      <c r="F7" s="13"/>
      <c r="G7" s="14"/>
    </row>
    <row r="8" spans="1:8" x14ac:dyDescent="0.3">
      <c r="A8" s="17" t="s">
        <v>12</v>
      </c>
      <c r="B8" s="14" t="s">
        <v>36</v>
      </c>
      <c r="D8" s="16"/>
      <c r="E8" s="10"/>
      <c r="F8" s="10"/>
    </row>
    <row r="10" spans="1:8" x14ac:dyDescent="0.3">
      <c r="A10" s="1" t="s">
        <v>11</v>
      </c>
      <c r="D10" s="1" t="s">
        <v>28</v>
      </c>
    </row>
    <row r="11" spans="1:8" x14ac:dyDescent="0.3">
      <c r="A11" s="38" t="s">
        <v>14</v>
      </c>
      <c r="B11" s="6" t="s">
        <v>37</v>
      </c>
      <c r="D11" s="38" t="s">
        <v>15</v>
      </c>
      <c r="E11" s="6" t="s">
        <v>30</v>
      </c>
      <c r="G11" s="9"/>
    </row>
    <row r="12" spans="1:8" x14ac:dyDescent="0.3">
      <c r="A12" s="39" t="s">
        <v>31</v>
      </c>
      <c r="B12" s="11" t="str">
        <f>_xll.CALRepoChinaIndex(A12,"7D",D2,,,TRUE)</f>
        <v>index</v>
      </c>
      <c r="D12" s="39"/>
      <c r="E12" s="11" t="str">
        <f>_xll.CALDiscountingSwapEngine(E11,D3,FALSE,,,,,TRUE)</f>
        <v>discountingSwapEngine</v>
      </c>
      <c r="G12" s="9"/>
    </row>
    <row r="13" spans="1:8" x14ac:dyDescent="0.3">
      <c r="A13" s="40"/>
      <c r="B13" s="14" t="str">
        <f>_xll.CALIBFRSwap(B11,B8,B7,B3,B4,B5,B6,0,A12,,,TRUE)</f>
        <v>Repo5Y1WSwap</v>
      </c>
      <c r="D13" s="39"/>
      <c r="E13" s="11" t="b">
        <f>_xll.CALInstrumentSetPricingEngine(B11,E11)</f>
        <v>1</v>
      </c>
    </row>
    <row r="14" spans="1:8" x14ac:dyDescent="0.3">
      <c r="D14" s="40"/>
      <c r="E14" s="14"/>
    </row>
    <row r="15" spans="1:8" x14ac:dyDescent="0.3">
      <c r="B15" s="2" t="str">
        <f>_xll.ohRangeRetrieveError(B13)</f>
        <v/>
      </c>
    </row>
    <row r="16" spans="1:8" x14ac:dyDescent="0.3">
      <c r="D16" s="9"/>
      <c r="G16" s="9"/>
      <c r="H16" s="9"/>
    </row>
    <row r="17" spans="1:15" ht="20.25" x14ac:dyDescent="0.3">
      <c r="A17" s="22" t="s">
        <v>16</v>
      </c>
      <c r="C17" s="37" t="s">
        <v>24</v>
      </c>
      <c r="G17" s="9"/>
      <c r="H17" s="9"/>
    </row>
    <row r="18" spans="1:15" x14ac:dyDescent="0.3">
      <c r="A18" s="38" t="s">
        <v>17</v>
      </c>
      <c r="B18" s="19">
        <f>_xll.CALInstrumentNPV($B$11)</f>
        <v>3326656.4431358725</v>
      </c>
      <c r="C18" s="32" t="s">
        <v>25</v>
      </c>
      <c r="D18" s="24" t="str">
        <f t="array" ref="D18:O38">_xll.CALSwapLegAnalysis($B$11,0)</f>
        <v>Payment Date</v>
      </c>
      <c r="E18" s="25" t="str">
        <v>Amount</v>
      </c>
      <c r="F18" s="25" t="str">
        <v>Nominal</v>
      </c>
      <c r="G18" s="26" t="str">
        <v>Accrual Start Date</v>
      </c>
      <c r="H18" s="26" t="str">
        <v>Accrual End Date</v>
      </c>
      <c r="I18" s="25" t="str">
        <v>Accrual Days</v>
      </c>
      <c r="J18" s="25" t="str">
        <v>Index</v>
      </c>
      <c r="K18" s="25" t="str">
        <v>Fixing Days</v>
      </c>
      <c r="L18" s="25" t="str">
        <v>Fixing Dates</v>
      </c>
      <c r="M18" s="25" t="str">
        <v>Day Counter</v>
      </c>
      <c r="N18" s="25" t="str">
        <v>Accrual Period</v>
      </c>
      <c r="O18" s="27" t="str">
        <v>Effective Rate</v>
      </c>
    </row>
    <row r="19" spans="1:15" x14ac:dyDescent="0.3">
      <c r="A19" s="39" t="s">
        <v>18</v>
      </c>
      <c r="B19" s="20">
        <f>_xll.CALSwapLegNPV($B$11,0)</f>
        <v>-2209036.2041805759</v>
      </c>
      <c r="D19" s="28">
        <v>41740</v>
      </c>
      <c r="E19" s="10">
        <v>120547.94520548028</v>
      </c>
      <c r="F19" s="10">
        <v>10000000</v>
      </c>
      <c r="G19" s="29">
        <v>41652</v>
      </c>
      <c r="H19" s="29">
        <v>41740</v>
      </c>
      <c r="I19" s="10">
        <v>88</v>
      </c>
      <c r="J19" s="10" t="str">
        <v>#N/A</v>
      </c>
      <c r="K19" s="10" t="str">
        <v>#N/A</v>
      </c>
      <c r="L19" s="10" t="str">
        <v>#N/A</v>
      </c>
      <c r="M19" s="10" t="str">
        <v>Actual/365 (Fixed)</v>
      </c>
      <c r="N19" s="35">
        <v>0.24109589041095891</v>
      </c>
      <c r="O19" s="18">
        <v>0.05</v>
      </c>
    </row>
    <row r="20" spans="1:15" x14ac:dyDescent="0.3">
      <c r="A20" s="39" t="s">
        <v>19</v>
      </c>
      <c r="B20" s="20">
        <f>_xll.CALSwapLegNPV($B$11,1)</f>
        <v>5535692.6473164484</v>
      </c>
      <c r="D20" s="28">
        <v>41831</v>
      </c>
      <c r="E20" s="10">
        <v>124657.534246575</v>
      </c>
      <c r="F20" s="10">
        <v>10000000</v>
      </c>
      <c r="G20" s="29">
        <v>41740</v>
      </c>
      <c r="H20" s="29">
        <v>41831</v>
      </c>
      <c r="I20" s="10">
        <v>91</v>
      </c>
      <c r="J20" s="10" t="str">
        <v>#N/A</v>
      </c>
      <c r="K20" s="10" t="str">
        <v>#N/A</v>
      </c>
      <c r="L20" s="10" t="str">
        <v>#N/A</v>
      </c>
      <c r="M20" s="10" t="str">
        <v>Actual/365 (Fixed)</v>
      </c>
      <c r="N20" s="35">
        <v>0.24931506849315069</v>
      </c>
      <c r="O20" s="18">
        <v>0.05</v>
      </c>
    </row>
    <row r="21" spans="1:15" x14ac:dyDescent="0.3">
      <c r="A21" s="39" t="s">
        <v>20</v>
      </c>
      <c r="B21" s="20">
        <f>_xll.CALSwapLegBPS($B$11,0)</f>
        <v>-4418.0724083611622</v>
      </c>
      <c r="D21" s="28">
        <v>41925</v>
      </c>
      <c r="E21" s="10">
        <v>128767.12328767193</v>
      </c>
      <c r="F21" s="10">
        <v>10000000</v>
      </c>
      <c r="G21" s="29">
        <v>41831</v>
      </c>
      <c r="H21" s="29">
        <v>41925</v>
      </c>
      <c r="I21" s="10">
        <v>94</v>
      </c>
      <c r="J21" s="10" t="str">
        <v>#N/A</v>
      </c>
      <c r="K21" s="10" t="str">
        <v>#N/A</v>
      </c>
      <c r="L21" s="10" t="str">
        <v>#N/A</v>
      </c>
      <c r="M21" s="10" t="str">
        <v>Actual/365 (Fixed)</v>
      </c>
      <c r="N21" s="35">
        <v>0.25753424657534246</v>
      </c>
      <c r="O21" s="18">
        <v>0.05</v>
      </c>
    </row>
    <row r="22" spans="1:15" x14ac:dyDescent="0.3">
      <c r="A22" s="39" t="s">
        <v>21</v>
      </c>
      <c r="B22" s="20">
        <f>_xll.CALSwapLegBPS($B$11,1)</f>
        <v>4479.4345251439554</v>
      </c>
      <c r="D22" s="28">
        <v>42016</v>
      </c>
      <c r="E22" s="10">
        <v>124657.534246575</v>
      </c>
      <c r="F22" s="10">
        <v>10000000</v>
      </c>
      <c r="G22" s="29">
        <v>41925</v>
      </c>
      <c r="H22" s="29">
        <v>42016</v>
      </c>
      <c r="I22" s="10">
        <v>91</v>
      </c>
      <c r="J22" s="10" t="str">
        <v>#N/A</v>
      </c>
      <c r="K22" s="10" t="str">
        <v>#N/A</v>
      </c>
      <c r="L22" s="10" t="str">
        <v>#N/A</v>
      </c>
      <c r="M22" s="10" t="str">
        <v>Actual/365 (Fixed)</v>
      </c>
      <c r="N22" s="35">
        <v>0.24931506849315069</v>
      </c>
      <c r="O22" s="18">
        <v>0.05</v>
      </c>
    </row>
    <row r="23" spans="1:15" x14ac:dyDescent="0.3">
      <c r="A23" s="40" t="s">
        <v>22</v>
      </c>
      <c r="B23" s="21" t="e">
        <f>_xll.CALVanillaSwapFairRate(B11)</f>
        <v>#NUM!</v>
      </c>
      <c r="D23" s="28">
        <v>42107</v>
      </c>
      <c r="E23" s="10">
        <v>124657.534246575</v>
      </c>
      <c r="F23" s="10">
        <v>10000000</v>
      </c>
      <c r="G23" s="29">
        <v>42016</v>
      </c>
      <c r="H23" s="29">
        <v>42107</v>
      </c>
      <c r="I23" s="10">
        <v>91</v>
      </c>
      <c r="J23" s="10" t="str">
        <v>#N/A</v>
      </c>
      <c r="K23" s="10" t="str">
        <v>#N/A</v>
      </c>
      <c r="L23" s="10" t="str">
        <v>#N/A</v>
      </c>
      <c r="M23" s="10" t="str">
        <v>Actual/365 (Fixed)</v>
      </c>
      <c r="N23" s="35">
        <v>0.24931506849315069</v>
      </c>
      <c r="O23" s="18">
        <v>0.05</v>
      </c>
    </row>
    <row r="24" spans="1:15" x14ac:dyDescent="0.3">
      <c r="D24" s="28">
        <v>42198</v>
      </c>
      <c r="E24" s="10">
        <v>124657.534246575</v>
      </c>
      <c r="F24" s="10">
        <v>10000000</v>
      </c>
      <c r="G24" s="29">
        <v>42107</v>
      </c>
      <c r="H24" s="29">
        <v>42198</v>
      </c>
      <c r="I24" s="10">
        <v>91</v>
      </c>
      <c r="J24" s="10" t="str">
        <v>#N/A</v>
      </c>
      <c r="K24" s="10" t="str">
        <v>#N/A</v>
      </c>
      <c r="L24" s="10" t="str">
        <v>#N/A</v>
      </c>
      <c r="M24" s="10" t="str">
        <v>Actual/365 (Fixed)</v>
      </c>
      <c r="N24" s="35">
        <v>0.24931506849315069</v>
      </c>
      <c r="O24" s="18">
        <v>0.05</v>
      </c>
    </row>
    <row r="25" spans="1:15" x14ac:dyDescent="0.3">
      <c r="B25" s="2" t="str">
        <f>_xll.ohRangeRetrieveError(B18)</f>
        <v/>
      </c>
      <c r="D25" s="28">
        <v>42289</v>
      </c>
      <c r="E25" s="10">
        <v>124657.534246575</v>
      </c>
      <c r="F25" s="10">
        <v>10000000</v>
      </c>
      <c r="G25" s="29">
        <v>42198</v>
      </c>
      <c r="H25" s="29">
        <v>42289</v>
      </c>
      <c r="I25" s="10">
        <v>91</v>
      </c>
      <c r="J25" s="10" t="str">
        <v>#N/A</v>
      </c>
      <c r="K25" s="10" t="str">
        <v>#N/A</v>
      </c>
      <c r="L25" s="10" t="str">
        <v>#N/A</v>
      </c>
      <c r="M25" s="10" t="str">
        <v>Actual/365 (Fixed)</v>
      </c>
      <c r="N25" s="35">
        <v>0.24931506849315069</v>
      </c>
      <c r="O25" s="18">
        <v>0.05</v>
      </c>
    </row>
    <row r="26" spans="1:15" x14ac:dyDescent="0.3">
      <c r="D26" s="28">
        <v>42380</v>
      </c>
      <c r="E26" s="10">
        <v>124657.534246575</v>
      </c>
      <c r="F26" s="10">
        <v>10000000</v>
      </c>
      <c r="G26" s="29">
        <v>42289</v>
      </c>
      <c r="H26" s="29">
        <v>42380</v>
      </c>
      <c r="I26" s="10">
        <v>91</v>
      </c>
      <c r="J26" s="10" t="str">
        <v>#N/A</v>
      </c>
      <c r="K26" s="10" t="str">
        <v>#N/A</v>
      </c>
      <c r="L26" s="10" t="str">
        <v>#N/A</v>
      </c>
      <c r="M26" s="10" t="str">
        <v>Actual/365 (Fixed)</v>
      </c>
      <c r="N26" s="35">
        <v>0.24931506849315069</v>
      </c>
      <c r="O26" s="18">
        <v>0.05</v>
      </c>
    </row>
    <row r="27" spans="1:15" x14ac:dyDescent="0.3">
      <c r="D27" s="28">
        <v>42471</v>
      </c>
      <c r="E27" s="10">
        <v>124657.534246575</v>
      </c>
      <c r="F27" s="10">
        <v>10000000</v>
      </c>
      <c r="G27" s="29">
        <v>42380</v>
      </c>
      <c r="H27" s="29">
        <v>42471</v>
      </c>
      <c r="I27" s="10">
        <v>91</v>
      </c>
      <c r="J27" s="10" t="str">
        <v>#N/A</v>
      </c>
      <c r="K27" s="10" t="str">
        <v>#N/A</v>
      </c>
      <c r="L27" s="10" t="str">
        <v>#N/A</v>
      </c>
      <c r="M27" s="10" t="str">
        <v>Actual/365 (Fixed)</v>
      </c>
      <c r="N27" s="35">
        <v>0.24931506849315069</v>
      </c>
      <c r="O27" s="18">
        <v>0.05</v>
      </c>
    </row>
    <row r="28" spans="1:15" x14ac:dyDescent="0.3">
      <c r="D28" s="28">
        <v>42562</v>
      </c>
      <c r="E28" s="10">
        <v>124657.534246575</v>
      </c>
      <c r="F28" s="10">
        <v>10000000</v>
      </c>
      <c r="G28" s="29">
        <v>42471</v>
      </c>
      <c r="H28" s="29">
        <v>42562</v>
      </c>
      <c r="I28" s="10">
        <v>91</v>
      </c>
      <c r="J28" s="10" t="str">
        <v>#N/A</v>
      </c>
      <c r="K28" s="10" t="str">
        <v>#N/A</v>
      </c>
      <c r="L28" s="10" t="str">
        <v>#N/A</v>
      </c>
      <c r="M28" s="10" t="str">
        <v>Actual/365 (Fixed)</v>
      </c>
      <c r="N28" s="35">
        <v>0.24931506849315069</v>
      </c>
      <c r="O28" s="18">
        <v>0.05</v>
      </c>
    </row>
    <row r="29" spans="1:15" x14ac:dyDescent="0.3">
      <c r="D29" s="28">
        <v>42654</v>
      </c>
      <c r="E29" s="10">
        <v>126027.39726027324</v>
      </c>
      <c r="F29" s="10">
        <v>10000000</v>
      </c>
      <c r="G29" s="29">
        <v>42562</v>
      </c>
      <c r="H29" s="29">
        <v>42654</v>
      </c>
      <c r="I29" s="10">
        <v>92</v>
      </c>
      <c r="J29" s="10" t="str">
        <v>#N/A</v>
      </c>
      <c r="K29" s="10" t="str">
        <v>#N/A</v>
      </c>
      <c r="L29" s="10" t="str">
        <v>#N/A</v>
      </c>
      <c r="M29" s="10" t="str">
        <v>Actual/365 (Fixed)</v>
      </c>
      <c r="N29" s="35">
        <v>0.25205479452054796</v>
      </c>
      <c r="O29" s="18">
        <v>0.05</v>
      </c>
    </row>
    <row r="30" spans="1:15" x14ac:dyDescent="0.3">
      <c r="D30" s="28">
        <v>42746</v>
      </c>
      <c r="E30" s="10">
        <v>126027.39726027324</v>
      </c>
      <c r="F30" s="10">
        <v>10000000</v>
      </c>
      <c r="G30" s="29">
        <v>42654</v>
      </c>
      <c r="H30" s="29">
        <v>42746</v>
      </c>
      <c r="I30" s="10">
        <v>92</v>
      </c>
      <c r="J30" s="10" t="str">
        <v>#N/A</v>
      </c>
      <c r="K30" s="10" t="str">
        <v>#N/A</v>
      </c>
      <c r="L30" s="10" t="str">
        <v>#N/A</v>
      </c>
      <c r="M30" s="10" t="str">
        <v>Actual/365 (Fixed)</v>
      </c>
      <c r="N30" s="35">
        <v>0.25205479452054796</v>
      </c>
      <c r="O30" s="18">
        <v>0.05</v>
      </c>
    </row>
    <row r="31" spans="1:15" x14ac:dyDescent="0.3">
      <c r="D31" s="28">
        <v>42836</v>
      </c>
      <c r="E31" s="10">
        <v>123287.67123287676</v>
      </c>
      <c r="F31" s="10">
        <v>10000000</v>
      </c>
      <c r="G31" s="29">
        <v>42746</v>
      </c>
      <c r="H31" s="29">
        <v>42836</v>
      </c>
      <c r="I31" s="10">
        <v>90</v>
      </c>
      <c r="J31" s="10" t="str">
        <v>#N/A</v>
      </c>
      <c r="K31" s="10" t="str">
        <v>#N/A</v>
      </c>
      <c r="L31" s="29" t="str">
        <v>#N/A</v>
      </c>
      <c r="M31" s="10" t="str">
        <v>Actual/365 (Fixed)</v>
      </c>
      <c r="N31" s="35">
        <v>0.24657534246575341</v>
      </c>
      <c r="O31" s="18">
        <v>0.05</v>
      </c>
    </row>
    <row r="32" spans="1:15" x14ac:dyDescent="0.3">
      <c r="D32" s="28">
        <v>42927</v>
      </c>
      <c r="E32" s="10">
        <v>124657.534246575</v>
      </c>
      <c r="F32" s="10">
        <v>10000000</v>
      </c>
      <c r="G32" s="29">
        <v>42836</v>
      </c>
      <c r="H32" s="29">
        <v>42927</v>
      </c>
      <c r="I32" s="10">
        <v>91</v>
      </c>
      <c r="J32" s="10" t="str">
        <v>#N/A</v>
      </c>
      <c r="K32" s="10" t="str">
        <v>#N/A</v>
      </c>
      <c r="L32" s="29" t="str">
        <v>#N/A</v>
      </c>
      <c r="M32" s="10" t="str">
        <v>Actual/365 (Fixed)</v>
      </c>
      <c r="N32" s="35">
        <v>0.24931506849315069</v>
      </c>
      <c r="O32" s="18">
        <v>0.05</v>
      </c>
    </row>
    <row r="33" spans="3:15" x14ac:dyDescent="0.3">
      <c r="D33" s="28">
        <v>43019</v>
      </c>
      <c r="E33" s="10">
        <v>126027.39726027324</v>
      </c>
      <c r="F33" s="10">
        <v>10000000</v>
      </c>
      <c r="G33" s="29">
        <v>42927</v>
      </c>
      <c r="H33" s="29">
        <v>43019</v>
      </c>
      <c r="I33" s="10">
        <v>92</v>
      </c>
      <c r="J33" s="10" t="str">
        <v>#N/A</v>
      </c>
      <c r="K33" s="10" t="str">
        <v>#N/A</v>
      </c>
      <c r="L33" s="29" t="str">
        <v>#N/A</v>
      </c>
      <c r="M33" s="10" t="str">
        <v>Actual/365 (Fixed)</v>
      </c>
      <c r="N33" s="35">
        <v>0.25205479452054796</v>
      </c>
      <c r="O33" s="18">
        <v>0.05</v>
      </c>
    </row>
    <row r="34" spans="3:15" x14ac:dyDescent="0.3">
      <c r="D34" s="28">
        <v>43111</v>
      </c>
      <c r="E34" s="10">
        <v>126027.39726027324</v>
      </c>
      <c r="F34" s="10">
        <v>10000000</v>
      </c>
      <c r="G34" s="29">
        <v>43019</v>
      </c>
      <c r="H34" s="29">
        <v>43111</v>
      </c>
      <c r="I34" s="10">
        <v>92</v>
      </c>
      <c r="J34" s="10" t="str">
        <v>#N/A</v>
      </c>
      <c r="K34" s="10" t="str">
        <v>#N/A</v>
      </c>
      <c r="L34" s="29" t="str">
        <v>#N/A</v>
      </c>
      <c r="M34" s="10" t="str">
        <v>Actual/365 (Fixed)</v>
      </c>
      <c r="N34" s="35">
        <v>0.25205479452054796</v>
      </c>
      <c r="O34" s="18">
        <v>0.05</v>
      </c>
    </row>
    <row r="35" spans="3:15" x14ac:dyDescent="0.3">
      <c r="D35" s="28">
        <v>43201</v>
      </c>
      <c r="E35" s="10">
        <v>123287.67123287676</v>
      </c>
      <c r="F35" s="10">
        <v>10000000</v>
      </c>
      <c r="G35" s="29">
        <v>43111</v>
      </c>
      <c r="H35" s="29">
        <v>43201</v>
      </c>
      <c r="I35" s="10">
        <v>90</v>
      </c>
      <c r="J35" s="10" t="str">
        <v>#N/A</v>
      </c>
      <c r="K35" s="10" t="str">
        <v>#N/A</v>
      </c>
      <c r="L35" s="29" t="str">
        <v>#N/A</v>
      </c>
      <c r="M35" s="10" t="str">
        <v>Actual/365 (Fixed)</v>
      </c>
      <c r="N35" s="35">
        <v>0.24657534246575341</v>
      </c>
      <c r="O35" s="18">
        <v>0.05</v>
      </c>
    </row>
    <row r="36" spans="3:15" x14ac:dyDescent="0.3">
      <c r="D36" s="28">
        <v>43292</v>
      </c>
      <c r="E36" s="10">
        <v>124657.534246575</v>
      </c>
      <c r="F36" s="10">
        <v>10000000</v>
      </c>
      <c r="G36" s="29">
        <v>43201</v>
      </c>
      <c r="H36" s="29">
        <v>43292</v>
      </c>
      <c r="I36" s="10">
        <v>91</v>
      </c>
      <c r="J36" s="10" t="str">
        <v>#N/A</v>
      </c>
      <c r="K36" s="10" t="str">
        <v>#N/A</v>
      </c>
      <c r="L36" s="29" t="str">
        <v>#N/A</v>
      </c>
      <c r="M36" s="10" t="str">
        <v>Actual/365 (Fixed)</v>
      </c>
      <c r="N36" s="35">
        <v>0.24931506849315069</v>
      </c>
      <c r="O36" s="18">
        <v>0.05</v>
      </c>
    </row>
    <row r="37" spans="3:15" x14ac:dyDescent="0.3">
      <c r="D37" s="28">
        <v>43384</v>
      </c>
      <c r="E37" s="10">
        <v>126027.39726027324</v>
      </c>
      <c r="F37" s="10">
        <v>10000000</v>
      </c>
      <c r="G37" s="29">
        <v>43292</v>
      </c>
      <c r="H37" s="29">
        <v>43384</v>
      </c>
      <c r="I37" s="10">
        <v>92</v>
      </c>
      <c r="J37" s="10" t="str">
        <v>#N/A</v>
      </c>
      <c r="K37" s="10" t="str">
        <v>#N/A</v>
      </c>
      <c r="L37" s="29" t="str">
        <v>#N/A</v>
      </c>
      <c r="M37" s="10" t="str">
        <v>Actual/365 (Fixed)</v>
      </c>
      <c r="N37" s="35">
        <v>0.25205479452054796</v>
      </c>
      <c r="O37" s="18">
        <v>0.05</v>
      </c>
    </row>
    <row r="38" spans="3:15" x14ac:dyDescent="0.3">
      <c r="D38" s="30">
        <v>43476</v>
      </c>
      <c r="E38" s="13">
        <v>126027.39726027324</v>
      </c>
      <c r="F38" s="13">
        <v>10000000</v>
      </c>
      <c r="G38" s="31">
        <v>43384</v>
      </c>
      <c r="H38" s="31">
        <v>43476</v>
      </c>
      <c r="I38" s="13">
        <v>92</v>
      </c>
      <c r="J38" s="13" t="str">
        <v>#N/A</v>
      </c>
      <c r="K38" s="13" t="str">
        <v>#N/A</v>
      </c>
      <c r="L38" s="31" t="str">
        <v>#N/A</v>
      </c>
      <c r="M38" s="13" t="str">
        <v>Actual/365 (Fixed)</v>
      </c>
      <c r="N38" s="36">
        <v>0.25205479452054796</v>
      </c>
      <c r="O38" s="21">
        <v>0.05</v>
      </c>
    </row>
    <row r="39" spans="3:15" x14ac:dyDescent="0.3">
      <c r="D39" s="9"/>
      <c r="G39" s="9"/>
      <c r="H39" s="9"/>
      <c r="L39" s="9"/>
    </row>
    <row r="40" spans="3:15" x14ac:dyDescent="0.3">
      <c r="C40" s="32" t="s">
        <v>26</v>
      </c>
      <c r="D40" s="24" t="str">
        <f t="array" ref="D40:O60">_xll.CALSwapLegAnalysis($B$11,1)</f>
        <v>Payment Date</v>
      </c>
      <c r="E40" s="25" t="str">
        <v>Amount</v>
      </c>
      <c r="F40" s="25" t="str">
        <v>Nominal</v>
      </c>
      <c r="G40" s="26" t="str">
        <v>Accrual Start Date</v>
      </c>
      <c r="H40" s="26" t="str">
        <v>Accrual End Date</v>
      </c>
      <c r="I40" s="25" t="str">
        <v>Accrual Days</v>
      </c>
      <c r="J40" s="25" t="str">
        <v>Index</v>
      </c>
      <c r="K40" s="25" t="str">
        <v>Fixing Days</v>
      </c>
      <c r="L40" s="25" t="str">
        <v>Fixing Dates</v>
      </c>
      <c r="M40" s="25" t="str">
        <v>Day Counter</v>
      </c>
      <c r="N40" s="25" t="str">
        <v>Accrual Period</v>
      </c>
      <c r="O40" s="27" t="str">
        <v>Effective Rate</v>
      </c>
    </row>
    <row r="41" spans="3:15" x14ac:dyDescent="0.3">
      <c r="D41" s="28">
        <v>41740</v>
      </c>
      <c r="E41" s="33">
        <v>301964.0423657971</v>
      </c>
      <c r="F41" s="10">
        <v>10000000</v>
      </c>
      <c r="G41" s="29">
        <v>41652</v>
      </c>
      <c r="H41" s="29">
        <v>41740</v>
      </c>
      <c r="I41" s="10">
        <v>88</v>
      </c>
      <c r="J41" s="10" t="str">
        <v>repoChina1W Actual/365 (Fixed)</v>
      </c>
      <c r="K41" s="10">
        <v>1</v>
      </c>
      <c r="L41" s="29">
        <v>41649</v>
      </c>
      <c r="M41" s="10" t="str">
        <v>Actual/360</v>
      </c>
      <c r="N41" s="33">
        <v>0.24444444444444444</v>
      </c>
      <c r="O41" s="18">
        <v>0.12353074460418972</v>
      </c>
    </row>
    <row r="42" spans="3:15" x14ac:dyDescent="0.3">
      <c r="D42" s="28">
        <v>41831</v>
      </c>
      <c r="E42" s="33">
        <v>312258.27108281507</v>
      </c>
      <c r="F42" s="10">
        <v>10000000</v>
      </c>
      <c r="G42" s="29">
        <v>41740</v>
      </c>
      <c r="H42" s="29">
        <v>41831</v>
      </c>
      <c r="I42" s="10">
        <v>91</v>
      </c>
      <c r="J42" s="10" t="str">
        <v>repoChina1W Actual/365 (Fixed)</v>
      </c>
      <c r="K42" s="10">
        <v>1</v>
      </c>
      <c r="L42" s="29">
        <v>41739</v>
      </c>
      <c r="M42" s="10" t="str">
        <v>Actual/360</v>
      </c>
      <c r="N42" s="33">
        <v>0.25277777777777777</v>
      </c>
      <c r="O42" s="18">
        <v>0.1235307446041906</v>
      </c>
    </row>
    <row r="43" spans="3:15" x14ac:dyDescent="0.3">
      <c r="D43" s="28">
        <v>41925</v>
      </c>
      <c r="E43" s="33">
        <v>322931.00856350345</v>
      </c>
      <c r="F43" s="10">
        <v>10000000</v>
      </c>
      <c r="G43" s="29">
        <v>41831</v>
      </c>
      <c r="H43" s="29">
        <v>41925</v>
      </c>
      <c r="I43" s="10">
        <v>94</v>
      </c>
      <c r="J43" s="10" t="str">
        <v>repoChina1W Actual/365 (Fixed)</v>
      </c>
      <c r="K43" s="10">
        <v>1</v>
      </c>
      <c r="L43" s="29">
        <v>41830</v>
      </c>
      <c r="M43" s="10" t="str">
        <v>Actual/360</v>
      </c>
      <c r="N43" s="33">
        <v>0.26111111111111113</v>
      </c>
      <c r="O43" s="18">
        <v>0.12367570540729918</v>
      </c>
    </row>
    <row r="44" spans="3:15" x14ac:dyDescent="0.3">
      <c r="D44" s="28">
        <v>42016</v>
      </c>
      <c r="E44" s="33">
        <v>312258.27108281734</v>
      </c>
      <c r="F44" s="10">
        <v>10000000</v>
      </c>
      <c r="G44" s="29">
        <v>41925</v>
      </c>
      <c r="H44" s="29">
        <v>42016</v>
      </c>
      <c r="I44" s="10">
        <v>91</v>
      </c>
      <c r="J44" s="10" t="str">
        <v>repoChina1W Actual/365 (Fixed)</v>
      </c>
      <c r="K44" s="10">
        <v>1</v>
      </c>
      <c r="L44" s="29">
        <v>41922</v>
      </c>
      <c r="M44" s="10" t="str">
        <v>Actual/360</v>
      </c>
      <c r="N44" s="33">
        <v>0.25277777777777777</v>
      </c>
      <c r="O44" s="18">
        <v>0.12353074460419149</v>
      </c>
    </row>
    <row r="45" spans="3:15" x14ac:dyDescent="0.3">
      <c r="D45" s="28">
        <v>42107</v>
      </c>
      <c r="E45" s="33">
        <v>312258.27108281065</v>
      </c>
      <c r="F45" s="10">
        <v>10000000</v>
      </c>
      <c r="G45" s="29">
        <v>42016</v>
      </c>
      <c r="H45" s="29">
        <v>42107</v>
      </c>
      <c r="I45" s="10">
        <v>91</v>
      </c>
      <c r="J45" s="10" t="str">
        <v>repoChina1W Actual/365 (Fixed)</v>
      </c>
      <c r="K45" s="10">
        <v>1</v>
      </c>
      <c r="L45" s="29">
        <v>42013</v>
      </c>
      <c r="M45" s="10" t="str">
        <v>Actual/360</v>
      </c>
      <c r="N45" s="33">
        <v>0.25277777777777777</v>
      </c>
      <c r="O45" s="18">
        <v>0.12353074460418882</v>
      </c>
    </row>
    <row r="46" spans="3:15" x14ac:dyDescent="0.3">
      <c r="D46" s="28">
        <v>42198</v>
      </c>
      <c r="E46" s="33">
        <v>312258.27108281286</v>
      </c>
      <c r="F46" s="10">
        <v>10000000</v>
      </c>
      <c r="G46" s="29">
        <v>42107</v>
      </c>
      <c r="H46" s="29">
        <v>42198</v>
      </c>
      <c r="I46" s="10">
        <v>91</v>
      </c>
      <c r="J46" s="10" t="str">
        <v>repoChina1W Actual/365 (Fixed)</v>
      </c>
      <c r="K46" s="10">
        <v>1</v>
      </c>
      <c r="L46" s="29">
        <v>42104</v>
      </c>
      <c r="M46" s="10" t="str">
        <v>Actual/360</v>
      </c>
      <c r="N46" s="33">
        <v>0.25277777777777777</v>
      </c>
      <c r="O46" s="18">
        <v>0.12353074460418971</v>
      </c>
    </row>
    <row r="47" spans="3:15" x14ac:dyDescent="0.3">
      <c r="D47" s="28">
        <v>42289</v>
      </c>
      <c r="E47" s="33">
        <v>312258.27108281286</v>
      </c>
      <c r="F47" s="10">
        <v>10000000</v>
      </c>
      <c r="G47" s="29">
        <v>42198</v>
      </c>
      <c r="H47" s="29">
        <v>42289</v>
      </c>
      <c r="I47" s="10">
        <v>91</v>
      </c>
      <c r="J47" s="10" t="str">
        <v>repoChina1W Actual/365 (Fixed)</v>
      </c>
      <c r="K47" s="10">
        <v>1</v>
      </c>
      <c r="L47" s="29">
        <v>42195</v>
      </c>
      <c r="M47" s="10" t="str">
        <v>Actual/360</v>
      </c>
      <c r="N47" s="33">
        <v>0.25277777777777777</v>
      </c>
      <c r="O47" s="18">
        <v>0.12353074460418971</v>
      </c>
    </row>
    <row r="48" spans="3:15" x14ac:dyDescent="0.3">
      <c r="D48" s="28">
        <v>42380</v>
      </c>
      <c r="E48" s="33">
        <v>312258.27108281059</v>
      </c>
      <c r="F48" s="10">
        <v>10000000</v>
      </c>
      <c r="G48" s="29">
        <v>42289</v>
      </c>
      <c r="H48" s="29">
        <v>42380</v>
      </c>
      <c r="I48" s="10">
        <v>91</v>
      </c>
      <c r="J48" s="10" t="str">
        <v>repoChina1W Actual/365 (Fixed)</v>
      </c>
      <c r="K48" s="10">
        <v>1</v>
      </c>
      <c r="L48" s="29">
        <v>42286</v>
      </c>
      <c r="M48" s="10" t="str">
        <v>Actual/360</v>
      </c>
      <c r="N48" s="33">
        <v>0.25277777777777777</v>
      </c>
      <c r="O48" s="18">
        <v>0.12353074460418881</v>
      </c>
    </row>
    <row r="49" spans="4:15" x14ac:dyDescent="0.3">
      <c r="D49" s="28">
        <v>42471</v>
      </c>
      <c r="E49" s="33">
        <v>312258.27108281286</v>
      </c>
      <c r="F49" s="10">
        <v>10000000</v>
      </c>
      <c r="G49" s="29">
        <v>42380</v>
      </c>
      <c r="H49" s="29">
        <v>42471</v>
      </c>
      <c r="I49" s="10">
        <v>91</v>
      </c>
      <c r="J49" s="10" t="str">
        <v>repoChina1W Actual/365 (Fixed)</v>
      </c>
      <c r="K49" s="10">
        <v>1</v>
      </c>
      <c r="L49" s="29">
        <v>42377</v>
      </c>
      <c r="M49" s="10" t="str">
        <v>Actual/360</v>
      </c>
      <c r="N49" s="33">
        <v>0.25277777777777777</v>
      </c>
      <c r="O49" s="18">
        <v>0.12353074460418971</v>
      </c>
    </row>
    <row r="50" spans="4:15" x14ac:dyDescent="0.3">
      <c r="D50" s="28">
        <v>42562</v>
      </c>
      <c r="E50" s="33">
        <v>312258.27108281967</v>
      </c>
      <c r="F50" s="10">
        <v>10000000</v>
      </c>
      <c r="G50" s="29">
        <v>42471</v>
      </c>
      <c r="H50" s="29">
        <v>42562</v>
      </c>
      <c r="I50" s="10">
        <v>91</v>
      </c>
      <c r="J50" s="10" t="str">
        <v>repoChina1W Actual/365 (Fixed)</v>
      </c>
      <c r="K50" s="10">
        <v>1</v>
      </c>
      <c r="L50" s="29">
        <v>42468</v>
      </c>
      <c r="M50" s="10" t="str">
        <v>Actual/360</v>
      </c>
      <c r="N50" s="33">
        <v>0.25277777777777777</v>
      </c>
      <c r="O50" s="18">
        <v>0.12353074460419239</v>
      </c>
    </row>
    <row r="51" spans="4:15" x14ac:dyDescent="0.3">
      <c r="D51" s="28">
        <v>42654</v>
      </c>
      <c r="E51" s="33">
        <v>316060.13604087569</v>
      </c>
      <c r="F51" s="10">
        <v>10000000</v>
      </c>
      <c r="G51" s="29">
        <v>42562</v>
      </c>
      <c r="H51" s="29">
        <v>42654</v>
      </c>
      <c r="I51" s="10">
        <v>92</v>
      </c>
      <c r="J51" s="10" t="str">
        <v>repoChina1W Actual/365 (Fixed)</v>
      </c>
      <c r="K51" s="10">
        <v>1</v>
      </c>
      <c r="L51" s="29">
        <v>42559</v>
      </c>
      <c r="M51" s="10" t="str">
        <v>Actual/360</v>
      </c>
      <c r="N51" s="33">
        <v>0.25555555555555554</v>
      </c>
      <c r="O51" s="18">
        <v>0.12367570540729919</v>
      </c>
    </row>
    <row r="52" spans="4:15" x14ac:dyDescent="0.3">
      <c r="D52" s="28">
        <v>42746</v>
      </c>
      <c r="E52" s="33">
        <v>316060.13604087144</v>
      </c>
      <c r="F52" s="10">
        <v>10000000</v>
      </c>
      <c r="G52" s="29">
        <v>42654</v>
      </c>
      <c r="H52" s="29">
        <v>42746</v>
      </c>
      <c r="I52" s="10">
        <v>92</v>
      </c>
      <c r="J52" s="10" t="str">
        <v>repoChina1W Actual/365 (Fixed)</v>
      </c>
      <c r="K52" s="10">
        <v>1</v>
      </c>
      <c r="L52" s="29">
        <v>42653</v>
      </c>
      <c r="M52" s="10" t="str">
        <v>Actual/360</v>
      </c>
      <c r="N52" s="33">
        <v>0.25555555555555554</v>
      </c>
      <c r="O52" s="18">
        <v>0.12367570540729754</v>
      </c>
    </row>
    <row r="53" spans="4:15" x14ac:dyDescent="0.3">
      <c r="D53" s="28">
        <v>42836</v>
      </c>
      <c r="E53" s="33">
        <v>308826.8615104765</v>
      </c>
      <c r="F53" s="10">
        <v>10000000</v>
      </c>
      <c r="G53" s="29">
        <v>42746</v>
      </c>
      <c r="H53" s="29">
        <v>42836</v>
      </c>
      <c r="I53" s="10">
        <v>90</v>
      </c>
      <c r="J53" s="10" t="str">
        <v>repoChina1W Actual/365 (Fixed)</v>
      </c>
      <c r="K53" s="10">
        <v>1</v>
      </c>
      <c r="L53" s="29">
        <v>42745</v>
      </c>
      <c r="M53" s="10" t="str">
        <v>Actual/360</v>
      </c>
      <c r="N53" s="33">
        <v>0.25</v>
      </c>
      <c r="O53" s="18">
        <v>0.1235307446041906</v>
      </c>
    </row>
    <row r="54" spans="4:15" x14ac:dyDescent="0.3">
      <c r="D54" s="28">
        <v>42927</v>
      </c>
      <c r="E54" s="33">
        <v>312258.27108281065</v>
      </c>
      <c r="F54" s="10">
        <v>10000000</v>
      </c>
      <c r="G54" s="29">
        <v>42836</v>
      </c>
      <c r="H54" s="29">
        <v>42927</v>
      </c>
      <c r="I54" s="10">
        <v>91</v>
      </c>
      <c r="J54" s="10" t="str">
        <v>repoChina1W Actual/365 (Fixed)</v>
      </c>
      <c r="K54" s="10">
        <v>1</v>
      </c>
      <c r="L54" s="29">
        <v>42835</v>
      </c>
      <c r="M54" s="10" t="str">
        <v>Actual/360</v>
      </c>
      <c r="N54" s="33">
        <v>0.25277777777777777</v>
      </c>
      <c r="O54" s="18">
        <v>0.12353074460418882</v>
      </c>
    </row>
    <row r="55" spans="4:15" x14ac:dyDescent="0.3">
      <c r="D55" s="28">
        <v>43019</v>
      </c>
      <c r="E55" s="33">
        <v>316060.13604087353</v>
      </c>
      <c r="F55" s="10">
        <v>10000000</v>
      </c>
      <c r="G55" s="29">
        <v>42927</v>
      </c>
      <c r="H55" s="29">
        <v>43019</v>
      </c>
      <c r="I55" s="10">
        <v>92</v>
      </c>
      <c r="J55" s="10" t="str">
        <v>repoChina1W Actual/365 (Fixed)</v>
      </c>
      <c r="K55" s="10">
        <v>1</v>
      </c>
      <c r="L55" s="29">
        <v>42926</v>
      </c>
      <c r="M55" s="10" t="str">
        <v>Actual/360</v>
      </c>
      <c r="N55" s="33">
        <v>0.25555555555555554</v>
      </c>
      <c r="O55" s="18">
        <v>0.12367570540729834</v>
      </c>
    </row>
    <row r="56" spans="4:15" x14ac:dyDescent="0.3">
      <c r="D56" s="28">
        <v>43111</v>
      </c>
      <c r="E56" s="33">
        <v>316060.13604087144</v>
      </c>
      <c r="F56" s="10">
        <v>10000000</v>
      </c>
      <c r="G56" s="29">
        <v>43019</v>
      </c>
      <c r="H56" s="29">
        <v>43111</v>
      </c>
      <c r="I56" s="10">
        <v>92</v>
      </c>
      <c r="J56" s="10" t="str">
        <v>repoChina1W Actual/365 (Fixed)</v>
      </c>
      <c r="K56" s="10">
        <v>1</v>
      </c>
      <c r="L56" s="29">
        <v>43018</v>
      </c>
      <c r="M56" s="10" t="str">
        <v>Actual/360</v>
      </c>
      <c r="N56" s="33">
        <v>0.25555555555555554</v>
      </c>
      <c r="O56" s="18">
        <v>0.12367570540729753</v>
      </c>
    </row>
    <row r="57" spans="4:15" x14ac:dyDescent="0.3">
      <c r="D57" s="28">
        <v>43201</v>
      </c>
      <c r="E57" s="33">
        <v>308826.86151047645</v>
      </c>
      <c r="F57" s="10">
        <v>10000000</v>
      </c>
      <c r="G57" s="29">
        <v>43111</v>
      </c>
      <c r="H57" s="29">
        <v>43201</v>
      </c>
      <c r="I57" s="10">
        <v>90</v>
      </c>
      <c r="J57" s="10" t="str">
        <v>repoChina1W Actual/365 (Fixed)</v>
      </c>
      <c r="K57" s="10">
        <v>1</v>
      </c>
      <c r="L57" s="29">
        <v>43110</v>
      </c>
      <c r="M57" s="10" t="str">
        <v>Actual/360</v>
      </c>
      <c r="N57" s="33">
        <v>0.25</v>
      </c>
      <c r="O57" s="18">
        <v>0.12353074460419058</v>
      </c>
    </row>
    <row r="58" spans="4:15" x14ac:dyDescent="0.3">
      <c r="D58" s="28">
        <v>43292</v>
      </c>
      <c r="E58" s="33">
        <v>312258.27108280605</v>
      </c>
      <c r="F58" s="10">
        <v>10000000</v>
      </c>
      <c r="G58" s="29">
        <v>43201</v>
      </c>
      <c r="H58" s="29">
        <v>43292</v>
      </c>
      <c r="I58" s="10">
        <v>91</v>
      </c>
      <c r="J58" s="10" t="str">
        <v>repoChina1W Actual/365 (Fixed)</v>
      </c>
      <c r="K58" s="10">
        <v>1</v>
      </c>
      <c r="L58" s="29">
        <v>43200</v>
      </c>
      <c r="M58" s="10" t="str">
        <v>Actual/360</v>
      </c>
      <c r="N58" s="33">
        <v>0.25277777777777777</v>
      </c>
      <c r="O58" s="18">
        <v>0.12353074460418703</v>
      </c>
    </row>
    <row r="59" spans="4:15" x14ac:dyDescent="0.3">
      <c r="D59" s="28">
        <v>43384</v>
      </c>
      <c r="E59" s="33">
        <v>316060.13604087353</v>
      </c>
      <c r="F59" s="10">
        <v>10000000</v>
      </c>
      <c r="G59" s="29">
        <v>43292</v>
      </c>
      <c r="H59" s="29">
        <v>43384</v>
      </c>
      <c r="I59" s="10">
        <v>92</v>
      </c>
      <c r="J59" s="10" t="str">
        <v>repoChina1W Actual/365 (Fixed)</v>
      </c>
      <c r="K59" s="10">
        <v>1</v>
      </c>
      <c r="L59" s="29">
        <v>43291</v>
      </c>
      <c r="M59" s="10" t="str">
        <v>Actual/360</v>
      </c>
      <c r="N59" s="33">
        <v>0.25555555555555554</v>
      </c>
      <c r="O59" s="18">
        <v>0.12367570540729834</v>
      </c>
    </row>
    <row r="60" spans="4:15" x14ac:dyDescent="0.3">
      <c r="D60" s="30">
        <v>43476</v>
      </c>
      <c r="E60" s="34">
        <v>316060.13604087569</v>
      </c>
      <c r="F60" s="13">
        <v>10000000</v>
      </c>
      <c r="G60" s="31">
        <v>43384</v>
      </c>
      <c r="H60" s="31">
        <v>43476</v>
      </c>
      <c r="I60" s="13">
        <v>92</v>
      </c>
      <c r="J60" s="13" t="str">
        <v>repoChina1W Actual/365 (Fixed)</v>
      </c>
      <c r="K60" s="13">
        <v>1</v>
      </c>
      <c r="L60" s="31">
        <v>43383</v>
      </c>
      <c r="M60" s="13" t="str">
        <v>Actual/360</v>
      </c>
      <c r="N60" s="34">
        <v>0.25555555555555554</v>
      </c>
      <c r="O60" s="21">
        <v>0.12367570540729918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ShiborSwap</vt:lpstr>
      <vt:lpstr>FR007Swap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wegamekinglc</dc:creator>
  <cp:lastModifiedBy>wegamekinglc</cp:lastModifiedBy>
  <dcterms:created xsi:type="dcterms:W3CDTF">2014-01-09T07:46:40Z</dcterms:created>
  <dcterms:modified xsi:type="dcterms:W3CDTF">2014-01-27T04:53:54Z</dcterms:modified>
</cp:coreProperties>
</file>