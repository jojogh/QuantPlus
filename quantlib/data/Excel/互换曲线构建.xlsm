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ev\github\CAL\quantlib\data\Excel\"/>
    </mc:Choice>
  </mc:AlternateContent>
  <bookViews>
    <workbookView xWindow="16740" yWindow="0" windowWidth="19560" windowHeight="9600" activeTab="1"/>
  </bookViews>
  <sheets>
    <sheet name="Shibor Swap Curve" sheetId="1" r:id="rId1"/>
    <sheet name="Repo Swap Curve" sheetId="2" r:id="rId2"/>
    <sheet name="Comparing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2" i="3"/>
  <c r="H23" i="2" a="1"/>
  <c r="G23" i="2" a="1"/>
  <c r="I16" i="2"/>
  <c r="I19" i="2"/>
  <c r="I18" i="2"/>
  <c r="I17" i="2"/>
  <c r="I15" i="2"/>
  <c r="I14" i="2"/>
  <c r="I13" i="2"/>
  <c r="I12" i="2"/>
  <c r="I11" i="2"/>
  <c r="I10" i="2"/>
  <c r="I9" i="2"/>
  <c r="C26" i="1"/>
  <c r="H59" i="1"/>
  <c r="H62" i="1"/>
  <c r="H63" i="1"/>
  <c r="H61" i="1"/>
  <c r="H60" i="1"/>
  <c r="H58" i="1"/>
  <c r="H57" i="1"/>
  <c r="H56" i="1"/>
  <c r="H55" i="1"/>
  <c r="H54" i="1"/>
  <c r="H53" i="1"/>
  <c r="H52" i="1"/>
  <c r="H51" i="1"/>
  <c r="H50" i="1"/>
  <c r="H49" i="1"/>
  <c r="H48" i="1"/>
  <c r="H45" i="1"/>
  <c r="H40" i="1"/>
  <c r="H33" i="1"/>
  <c r="H24" i="1"/>
  <c r="H44" i="1"/>
  <c r="H46" i="1"/>
  <c r="H47" i="1"/>
  <c r="H43" i="1"/>
  <c r="H42" i="1"/>
  <c r="H41" i="1"/>
  <c r="H38" i="1"/>
  <c r="H39" i="1"/>
  <c r="H37" i="1"/>
  <c r="H36" i="1"/>
  <c r="H35" i="1"/>
  <c r="H32" i="1"/>
  <c r="H34" i="1"/>
  <c r="H31" i="1"/>
  <c r="H30" i="1"/>
  <c r="H29" i="1"/>
  <c r="H28" i="1"/>
  <c r="H25" i="1"/>
  <c r="H26" i="1"/>
  <c r="H27" i="1"/>
  <c r="I18" i="1"/>
  <c r="I17" i="1"/>
  <c r="I16" i="1"/>
  <c r="I15" i="1"/>
  <c r="I14" i="1"/>
  <c r="I13" i="1"/>
  <c r="I11" i="1"/>
  <c r="J11" i="1"/>
  <c r="L11" i="1" s="1"/>
  <c r="G24" i="1" a="1"/>
  <c r="I7" i="2"/>
  <c r="I6" i="2"/>
  <c r="I8" i="2"/>
  <c r="D2" i="2"/>
  <c r="G7" i="2"/>
  <c r="I6" i="1"/>
  <c r="I9" i="1"/>
  <c r="G7" i="1"/>
  <c r="I12" i="1"/>
  <c r="I8" i="1"/>
  <c r="D2" i="1"/>
  <c r="I19" i="1"/>
  <c r="I10" i="1"/>
  <c r="I7" i="1"/>
  <c r="H26" i="2" l="1"/>
  <c r="H30" i="2"/>
  <c r="C9" i="3" s="1"/>
  <c r="H34" i="2"/>
  <c r="C13" i="3" s="1"/>
  <c r="H38" i="2"/>
  <c r="C17" i="3" s="1"/>
  <c r="H42" i="2"/>
  <c r="H46" i="2"/>
  <c r="H50" i="2"/>
  <c r="H54" i="2"/>
  <c r="C33" i="3" s="1"/>
  <c r="H58" i="2"/>
  <c r="H62" i="2"/>
  <c r="H23" i="2"/>
  <c r="C2" i="3" s="1"/>
  <c r="H27" i="2"/>
  <c r="C6" i="3" s="1"/>
  <c r="H31" i="2"/>
  <c r="H35" i="2"/>
  <c r="H39" i="2"/>
  <c r="C18" i="3" s="1"/>
  <c r="H43" i="2"/>
  <c r="H47" i="2"/>
  <c r="H51" i="2"/>
  <c r="H55" i="2"/>
  <c r="H59" i="2"/>
  <c r="C38" i="3" s="1"/>
  <c r="H24" i="2"/>
  <c r="H28" i="2"/>
  <c r="H32" i="2"/>
  <c r="C11" i="3" s="1"/>
  <c r="H36" i="2"/>
  <c r="C15" i="3" s="1"/>
  <c r="H40" i="2"/>
  <c r="H44" i="2"/>
  <c r="H48" i="2"/>
  <c r="C27" i="3" s="1"/>
  <c r="H52" i="2"/>
  <c r="C31" i="3" s="1"/>
  <c r="H56" i="2"/>
  <c r="H60" i="2"/>
  <c r="C39" i="3" s="1"/>
  <c r="H25" i="2"/>
  <c r="H29" i="2"/>
  <c r="C8" i="3" s="1"/>
  <c r="H33" i="2"/>
  <c r="H37" i="2"/>
  <c r="H41" i="2"/>
  <c r="H45" i="2"/>
  <c r="C24" i="3" s="1"/>
  <c r="H49" i="2"/>
  <c r="H53" i="2"/>
  <c r="H57" i="2"/>
  <c r="C36" i="3" s="1"/>
  <c r="H61" i="2"/>
  <c r="G26" i="2"/>
  <c r="G30" i="2"/>
  <c r="G34" i="2"/>
  <c r="G38" i="2"/>
  <c r="G42" i="2"/>
  <c r="G46" i="2"/>
  <c r="G50" i="2"/>
  <c r="G54" i="2"/>
  <c r="G58" i="2"/>
  <c r="G62" i="2"/>
  <c r="G23" i="2"/>
  <c r="G27" i="2"/>
  <c r="G31" i="2"/>
  <c r="G35" i="2"/>
  <c r="G39" i="2"/>
  <c r="G43" i="2"/>
  <c r="G47" i="2"/>
  <c r="G51" i="2"/>
  <c r="G55" i="2"/>
  <c r="G59" i="2"/>
  <c r="G24" i="2"/>
  <c r="G28" i="2"/>
  <c r="G32" i="2"/>
  <c r="G36" i="2"/>
  <c r="G40" i="2"/>
  <c r="G44" i="2"/>
  <c r="G48" i="2"/>
  <c r="G52" i="2"/>
  <c r="G56" i="2"/>
  <c r="G60" i="2"/>
  <c r="G25" i="2"/>
  <c r="G29" i="2"/>
  <c r="G33" i="2"/>
  <c r="G37" i="2"/>
  <c r="G41" i="2"/>
  <c r="G45" i="2"/>
  <c r="G49" i="2"/>
  <c r="G53" i="2"/>
  <c r="G57" i="2"/>
  <c r="G61" i="2"/>
  <c r="G24" i="1"/>
  <c r="C10" i="3"/>
  <c r="C14" i="3"/>
  <c r="C30" i="3"/>
  <c r="C34" i="3"/>
  <c r="C7" i="3"/>
  <c r="C19" i="3"/>
  <c r="C23" i="3"/>
  <c r="C4" i="3"/>
  <c r="C20" i="3"/>
  <c r="C25" i="3"/>
  <c r="C29" i="3"/>
  <c r="C41" i="3"/>
  <c r="C40" i="3"/>
  <c r="C37" i="3"/>
  <c r="C35" i="3"/>
  <c r="C32" i="3"/>
  <c r="C28" i="3"/>
  <c r="C26" i="3"/>
  <c r="C22" i="3"/>
  <c r="C21" i="3"/>
  <c r="C16" i="3"/>
  <c r="C12" i="3"/>
  <c r="C5" i="3"/>
  <c r="C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2" i="3"/>
  <c r="D24" i="3" l="1"/>
  <c r="D40" i="3"/>
  <c r="D36" i="3"/>
  <c r="D32" i="3"/>
  <c r="D28" i="3"/>
  <c r="D20" i="3"/>
  <c r="D16" i="3"/>
  <c r="D12" i="3"/>
  <c r="D8" i="3"/>
  <c r="D4" i="3"/>
  <c r="D39" i="3"/>
  <c r="D35" i="3"/>
  <c r="D31" i="3"/>
  <c r="D27" i="3"/>
  <c r="D23" i="3"/>
  <c r="D19" i="3"/>
  <c r="D15" i="3"/>
  <c r="D11" i="3"/>
  <c r="D7" i="3"/>
  <c r="D3" i="3"/>
  <c r="D41" i="3"/>
  <c r="D37" i="3"/>
  <c r="D33" i="3"/>
  <c r="D29" i="3"/>
  <c r="D25" i="3"/>
  <c r="D21" i="3"/>
  <c r="D17" i="3"/>
  <c r="D13" i="3"/>
  <c r="D9" i="3"/>
  <c r="D5" i="3"/>
  <c r="D2" i="3"/>
  <c r="D38" i="3"/>
  <c r="D34" i="3"/>
  <c r="D30" i="3"/>
  <c r="D26" i="3"/>
  <c r="D22" i="3"/>
  <c r="D18" i="3"/>
  <c r="D14" i="3"/>
  <c r="D10" i="3"/>
  <c r="D6" i="3"/>
  <c r="G62" i="1"/>
  <c r="G40" i="1"/>
  <c r="G53" i="1"/>
  <c r="G45" i="1"/>
  <c r="G60" i="1"/>
  <c r="G44" i="1"/>
  <c r="G49" i="1"/>
  <c r="G51" i="1"/>
  <c r="G55" i="1"/>
  <c r="J16" i="1"/>
  <c r="L16" i="1" s="1"/>
  <c r="J15" i="1"/>
  <c r="L15" i="1" s="1"/>
  <c r="G28" i="1"/>
  <c r="G32" i="1"/>
  <c r="G63" i="1"/>
  <c r="G61" i="1"/>
  <c r="G59" i="1"/>
  <c r="G57" i="1"/>
  <c r="J17" i="1"/>
  <c r="L17" i="1" s="1"/>
  <c r="G26" i="1"/>
  <c r="G35" i="1"/>
  <c r="G43" i="1"/>
  <c r="J19" i="1"/>
  <c r="L19" i="1" s="1"/>
  <c r="G42" i="1"/>
  <c r="G56" i="1"/>
  <c r="G41" i="1"/>
  <c r="G52" i="1"/>
  <c r="G38" i="1"/>
  <c r="G50" i="1"/>
  <c r="G34" i="1"/>
  <c r="G54" i="1"/>
  <c r="G25" i="1"/>
  <c r="G27" i="1"/>
  <c r="G29" i="1"/>
  <c r="G31" i="1"/>
  <c r="G30" i="1"/>
  <c r="J14" i="1"/>
  <c r="L14" i="1" s="1"/>
  <c r="G47" i="1"/>
  <c r="G58" i="1"/>
  <c r="J18" i="1"/>
  <c r="L18" i="1" s="1"/>
  <c r="G48" i="1"/>
  <c r="J12" i="1"/>
  <c r="L12" i="1" s="1"/>
  <c r="K6" i="1"/>
  <c r="G36" i="1"/>
  <c r="G39" i="1"/>
  <c r="G37" i="1"/>
  <c r="G33" i="1"/>
  <c r="G46" i="1"/>
  <c r="J13" i="1"/>
  <c r="L13" i="1" s="1"/>
  <c r="K18" i="1"/>
  <c r="K12" i="1"/>
  <c r="K15" i="1"/>
  <c r="K14" i="1"/>
  <c r="K16" i="1"/>
  <c r="K11" i="1"/>
  <c r="K19" i="1"/>
  <c r="K13" i="1" l="1"/>
  <c r="K17" i="1"/>
  <c r="C26" i="2" l="1"/>
  <c r="K7" i="2"/>
  <c r="J17" i="2"/>
  <c r="J16" i="2"/>
  <c r="J12" i="2"/>
  <c r="J11" i="2"/>
  <c r="J19" i="2"/>
  <c r="J9" i="2"/>
  <c r="J15" i="2"/>
  <c r="J18" i="2"/>
  <c r="K6" i="2"/>
  <c r="J10" i="2"/>
  <c r="K12" i="2"/>
  <c r="L12" i="2" s="1"/>
  <c r="K16" i="2"/>
  <c r="L16" i="2" s="1"/>
  <c r="K18" i="2"/>
  <c r="L18" i="2" s="1"/>
  <c r="J13" i="2"/>
  <c r="K13" i="2"/>
  <c r="L13" i="2"/>
  <c r="K9" i="2"/>
  <c r="L9" i="2" s="1"/>
  <c r="K17" i="2"/>
  <c r="L17" i="2"/>
  <c r="J14" i="2"/>
  <c r="K14" i="2"/>
  <c r="L14" i="2"/>
  <c r="K10" i="2"/>
  <c r="L10" i="2" s="1"/>
  <c r="K11" i="2"/>
  <c r="L11" i="2" s="1"/>
  <c r="K15" i="2"/>
  <c r="L15" i="2" s="1"/>
  <c r="K19" i="2"/>
  <c r="L19" i="2" s="1"/>
</calcChain>
</file>

<file path=xl/sharedStrings.xml><?xml version="1.0" encoding="utf-8"?>
<sst xmlns="http://schemas.openxmlformats.org/spreadsheetml/2006/main" count="86" uniqueCount="56">
  <si>
    <t>市场标的</t>
    <phoneticPr fontId="2" type="noConversion"/>
  </si>
  <si>
    <t>1W</t>
  </si>
  <si>
    <t>2W</t>
  </si>
  <si>
    <t>1M</t>
  </si>
  <si>
    <t>3M</t>
  </si>
  <si>
    <t>6M</t>
    <phoneticPr fontId="2" type="noConversion"/>
  </si>
  <si>
    <t>9M</t>
    <phoneticPr fontId="2" type="noConversion"/>
  </si>
  <si>
    <t>1Y</t>
    <phoneticPr fontId="2" type="noConversion"/>
  </si>
  <si>
    <t>2Y</t>
    <phoneticPr fontId="2" type="noConversion"/>
  </si>
  <si>
    <t>3Y</t>
  </si>
  <si>
    <t>4Y</t>
  </si>
  <si>
    <t>5Y</t>
  </si>
  <si>
    <t>7Y</t>
  </si>
  <si>
    <t>10Y</t>
    <phoneticPr fontId="2" type="noConversion"/>
  </si>
  <si>
    <t>类型</t>
    <phoneticPr fontId="2" type="noConversion"/>
  </si>
  <si>
    <t>期限</t>
    <phoneticPr fontId="2" type="noConversion"/>
  </si>
  <si>
    <t>报价</t>
    <phoneticPr fontId="2" type="noConversion"/>
  </si>
  <si>
    <t>报价日</t>
    <phoneticPr fontId="2" type="noConversion"/>
  </si>
  <si>
    <t>互换(Shibor swap)</t>
    <phoneticPr fontId="2" type="noConversion"/>
  </si>
  <si>
    <t>指数类型</t>
    <phoneticPr fontId="2" type="noConversion"/>
  </si>
  <si>
    <t>对象</t>
    <phoneticPr fontId="2" type="noConversion"/>
  </si>
  <si>
    <t>市场收益率曲线</t>
    <phoneticPr fontId="2" type="noConversion"/>
  </si>
  <si>
    <t>名称</t>
    <phoneticPr fontId="2" type="noConversion"/>
  </si>
  <si>
    <t>收益率数据</t>
    <phoneticPr fontId="2" type="noConversion"/>
  </si>
  <si>
    <t>天数计数惯例</t>
    <phoneticPr fontId="2" type="noConversion"/>
  </si>
  <si>
    <t>日期</t>
    <phoneticPr fontId="2" type="noConversion"/>
  </si>
  <si>
    <t>折现因子</t>
    <phoneticPr fontId="2" type="noConversion"/>
  </si>
  <si>
    <t>1D</t>
    <phoneticPr fontId="2" type="noConversion"/>
  </si>
  <si>
    <t>零息收益率</t>
    <phoneticPr fontId="2" type="noConversion"/>
  </si>
  <si>
    <t>7D</t>
    <phoneticPr fontId="2" type="noConversion"/>
  </si>
  <si>
    <t>1M</t>
    <phoneticPr fontId="2" type="noConversion"/>
  </si>
  <si>
    <t>3M</t>
    <phoneticPr fontId="2" type="noConversion"/>
  </si>
  <si>
    <t>互换(FR007 swap)</t>
    <phoneticPr fontId="2" type="noConversion"/>
  </si>
  <si>
    <t>RepoChina</t>
    <phoneticPr fontId="2" type="noConversion"/>
  </si>
  <si>
    <t>Actual/360</t>
    <phoneticPr fontId="2" type="noConversion"/>
  </si>
  <si>
    <t>Shibor</t>
    <phoneticPr fontId="2" type="noConversion"/>
  </si>
  <si>
    <t>3M</t>
    <phoneticPr fontId="2" type="noConversion"/>
  </si>
  <si>
    <t>Shibor3MSwapCurve</t>
    <phoneticPr fontId="2" type="noConversion"/>
  </si>
  <si>
    <t>报价</t>
    <phoneticPr fontId="2" type="noConversion"/>
  </si>
  <si>
    <t>Repo7DSwapCurve</t>
    <phoneticPr fontId="2" type="noConversion"/>
  </si>
  <si>
    <t>Actual/360</t>
    <phoneticPr fontId="2" type="noConversion"/>
  </si>
  <si>
    <t>同业拆借(Shibor)</t>
    <phoneticPr fontId="2" type="noConversion"/>
  </si>
  <si>
    <t>回购定盘（Repo）</t>
    <phoneticPr fontId="2" type="noConversion"/>
  </si>
  <si>
    <t>Shibor 3M</t>
    <phoneticPr fontId="2" type="noConversion"/>
  </si>
  <si>
    <t>Repo 7D</t>
    <phoneticPr fontId="2" type="noConversion"/>
  </si>
  <si>
    <t>Basis Diff.</t>
    <phoneticPr fontId="2" type="noConversion"/>
  </si>
  <si>
    <t>14D</t>
    <phoneticPr fontId="2" type="noConversion"/>
  </si>
  <si>
    <t>Calibration对象</t>
    <phoneticPr fontId="2" type="noConversion"/>
  </si>
  <si>
    <t>7D</t>
    <phoneticPr fontId="2" type="noConversion"/>
  </si>
  <si>
    <t>Pricing对象</t>
    <phoneticPr fontId="2" type="noConversion"/>
  </si>
  <si>
    <t>Engine</t>
    <phoneticPr fontId="2" type="noConversion"/>
  </si>
  <si>
    <t>Pricing对象</t>
    <phoneticPr fontId="2" type="noConversion"/>
  </si>
  <si>
    <t>Engine</t>
    <phoneticPr fontId="2" type="noConversion"/>
  </si>
  <si>
    <t>误差分析</t>
    <phoneticPr fontId="2" type="noConversion"/>
  </si>
  <si>
    <t>校正</t>
    <phoneticPr fontId="2" type="noConversion"/>
  </si>
  <si>
    <t>误差（bps）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</si>
</sst>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0%"/>
  </numFmts>
  <fonts count="4" x14ac:knownFonts="1">
    <font>
      <sz val="11"/>
      <color theme="1"/>
      <name val="华文楷体"/>
      <family val="2"/>
      <charset val="134"/>
    </font>
    <font>
      <sz val="11"/>
      <color theme="1"/>
      <name val="华文楷体"/>
      <family val="2"/>
      <charset val="134"/>
    </font>
    <font>
      <sz val="9"/>
      <name val="华文楷体"/>
      <family val="2"/>
      <charset val="134"/>
    </font>
    <font>
      <b/>
      <sz val="11"/>
      <color theme="1"/>
      <name val="华文楷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2" borderId="9" xfId="0" applyFill="1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14" fontId="0" fillId="0" borderId="11" xfId="0" applyNumberFormat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177" fontId="0" fillId="0" borderId="3" xfId="1" applyNumberFormat="1" applyFont="1" applyBorder="1" applyAlignment="1">
      <alignment horizontal="right" vertical="center"/>
    </xf>
    <xf numFmtId="177" fontId="0" fillId="0" borderId="4" xfId="1" applyNumberFormat="1" applyFont="1" applyBorder="1" applyAlignment="1">
      <alignment horizontal="right" vertical="center"/>
    </xf>
    <xf numFmtId="177" fontId="0" fillId="0" borderId="6" xfId="1" applyNumberFormat="1" applyFon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5" xfId="0" applyNumberFormat="1" applyBorder="1" applyAlignment="1">
      <alignment horizontal="right" vertical="center"/>
    </xf>
    <xf numFmtId="14" fontId="0" fillId="0" borderId="8" xfId="0" applyNumberFormat="1" applyBorder="1" applyAlignment="1">
      <alignment horizontal="right" vertical="center"/>
    </xf>
    <xf numFmtId="14" fontId="0" fillId="0" borderId="9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177" fontId="0" fillId="0" borderId="13" xfId="1" applyNumberFormat="1" applyFont="1" applyBorder="1">
      <alignment vertical="center"/>
    </xf>
    <xf numFmtId="177" fontId="0" fillId="0" borderId="2" xfId="1" applyNumberFormat="1" applyFont="1" applyBorder="1">
      <alignment vertical="center"/>
    </xf>
    <xf numFmtId="177" fontId="0" fillId="0" borderId="14" xfId="1" applyNumberFormat="1" applyFont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15" xfId="1" applyNumberFormat="1" applyFont="1" applyBorder="1">
      <alignment vertical="center"/>
    </xf>
    <xf numFmtId="177" fontId="0" fillId="0" borderId="5" xfId="1" applyNumberFormat="1" applyFont="1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6" xfId="0" applyNumberFormat="1" applyBorder="1">
      <alignment vertical="center"/>
    </xf>
    <xf numFmtId="0" fontId="0" fillId="4" borderId="1" xfId="0" applyFill="1" applyBorder="1" applyAlignment="1">
      <alignment horizontal="right" vertical="center"/>
    </xf>
    <xf numFmtId="0" fontId="0" fillId="4" borderId="11" xfId="0" applyFill="1" applyBorder="1" applyAlignment="1">
      <alignment horizontal="right" vertical="center"/>
    </xf>
    <xf numFmtId="0" fontId="0" fillId="4" borderId="12" xfId="0" applyFill="1" applyBorder="1" applyAlignment="1">
      <alignment horizontal="right" vertical="center"/>
    </xf>
    <xf numFmtId="0" fontId="0" fillId="4" borderId="0" xfId="0" applyFill="1" applyAlignment="1">
      <alignment horizontal="right" vertical="center"/>
    </xf>
    <xf numFmtId="0" fontId="0" fillId="4" borderId="7" xfId="0" applyFill="1" applyBorder="1" applyAlignment="1">
      <alignment horizontal="right" vertical="center"/>
    </xf>
    <xf numFmtId="0" fontId="0" fillId="4" borderId="9" xfId="0" applyFill="1" applyBorder="1" applyAlignment="1">
      <alignment horizontal="right" vertical="center"/>
    </xf>
    <xf numFmtId="0" fontId="0" fillId="4" borderId="8" xfId="0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0" fillId="4" borderId="10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r>
              <a:rPr lang="zh-CN" altLang="en-US">
                <a:latin typeface="华文楷体" panose="02010600040101010101" pitchFamily="2" charset="-122"/>
                <a:ea typeface="华文楷体" panose="02010600040101010101" pitchFamily="2" charset="-122"/>
              </a:rPr>
              <a:t>中国银行间</a:t>
            </a:r>
            <a:r>
              <a:rPr lang="en-US" altLang="zh-CN">
                <a:latin typeface="华文楷体" panose="02010600040101010101" pitchFamily="2" charset="-122"/>
                <a:ea typeface="华文楷体" panose="02010600040101010101" pitchFamily="2" charset="-122"/>
              </a:rPr>
              <a:t>Shibor</a:t>
            </a:r>
            <a:r>
              <a:rPr lang="zh-CN" altLang="en-US">
                <a:latin typeface="华文楷体" panose="02010600040101010101" pitchFamily="2" charset="-122"/>
                <a:ea typeface="华文楷体" panose="02010600040101010101" pitchFamily="2" charset="-122"/>
              </a:rPr>
              <a:t>互换收益率曲线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华文楷体" panose="02010600040101010101" pitchFamily="2" charset="-122"/>
              <a:ea typeface="华文楷体" panose="02010600040101010101" pitchFamily="2" charset="-122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'Shibor Swap Curve'!$G$23</c:f>
              <c:strCache>
                <c:ptCount val="1"/>
                <c:pt idx="0">
                  <c:v>折现因子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'Shibor Swap Curve'!$F$24:$F$63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'Shibor Swap Curve'!$G$24:$G$63</c:f>
              <c:numCache>
                <c:formatCode>0.0000</c:formatCode>
                <c:ptCount val="40"/>
                <c:pt idx="0">
                  <c:v>0.98631811117702684</c:v>
                </c:pt>
                <c:pt idx="1">
                  <c:v>0.97259788856753981</c:v>
                </c:pt>
                <c:pt idx="2">
                  <c:v>0.9587532962282288</c:v>
                </c:pt>
                <c:pt idx="3">
                  <c:v>0.94501223230716924</c:v>
                </c:pt>
                <c:pt idx="4">
                  <c:v>0.93187534077205414</c:v>
                </c:pt>
                <c:pt idx="5">
                  <c:v>0.91877944653572852</c:v>
                </c:pt>
                <c:pt idx="6">
                  <c:v>0.90572671656599368</c:v>
                </c:pt>
                <c:pt idx="7">
                  <c:v>0.89285942147979402</c:v>
                </c:pt>
                <c:pt idx="8">
                  <c:v>0.88028728420632107</c:v>
                </c:pt>
                <c:pt idx="9">
                  <c:v>0.86789190328320387</c:v>
                </c:pt>
                <c:pt idx="10">
                  <c:v>0.85553772791596738</c:v>
                </c:pt>
                <c:pt idx="11">
                  <c:v>0.84335941045042007</c:v>
                </c:pt>
                <c:pt idx="12">
                  <c:v>0.83159966375724403</c:v>
                </c:pt>
                <c:pt idx="13">
                  <c:v>0.81987564904599286</c:v>
                </c:pt>
                <c:pt idx="14">
                  <c:v>0.80819081167853923</c:v>
                </c:pt>
                <c:pt idx="15">
                  <c:v>0.79667250618023278</c:v>
                </c:pt>
                <c:pt idx="16">
                  <c:v>0.78557221697911372</c:v>
                </c:pt>
                <c:pt idx="17">
                  <c:v>0.77450593228764941</c:v>
                </c:pt>
                <c:pt idx="18">
                  <c:v>0.7634765006406351</c:v>
                </c:pt>
                <c:pt idx="19">
                  <c:v>0.75260413475307453</c:v>
                </c:pt>
                <c:pt idx="20">
                  <c:v>0.74185480139581983</c:v>
                </c:pt>
                <c:pt idx="21">
                  <c:v>0.73113917622175295</c:v>
                </c:pt>
                <c:pt idx="22">
                  <c:v>0.72046312969566317</c:v>
                </c:pt>
                <c:pt idx="23">
                  <c:v>0.7099429741040687</c:v>
                </c:pt>
                <c:pt idx="24">
                  <c:v>0.69968829516804532</c:v>
                </c:pt>
                <c:pt idx="25">
                  <c:v>0.68958173860792626</c:v>
                </c:pt>
                <c:pt idx="26">
                  <c:v>0.67951251107321242</c:v>
                </c:pt>
                <c:pt idx="27">
                  <c:v>0.66959031374169187</c:v>
                </c:pt>
                <c:pt idx="28">
                  <c:v>0.65968303215751767</c:v>
                </c:pt>
                <c:pt idx="29">
                  <c:v>0.64981088714751012</c:v>
                </c:pt>
                <c:pt idx="30">
                  <c:v>0.63998042937828792</c:v>
                </c:pt>
                <c:pt idx="31">
                  <c:v>0.63029868856943638</c:v>
                </c:pt>
                <c:pt idx="32">
                  <c:v>0.62096916163386084</c:v>
                </c:pt>
                <c:pt idx="33">
                  <c:v>0.61167636901746925</c:v>
                </c:pt>
                <c:pt idx="34">
                  <c:v>0.60242281720264335</c:v>
                </c:pt>
                <c:pt idx="35">
                  <c:v>0.59330925480955554</c:v>
                </c:pt>
                <c:pt idx="36">
                  <c:v>0.58452723642009119</c:v>
                </c:pt>
                <c:pt idx="37">
                  <c:v>0.57577979657558698</c:v>
                </c:pt>
                <c:pt idx="38">
                  <c:v>0.56706929466409339</c:v>
                </c:pt>
                <c:pt idx="39">
                  <c:v>0.55849056681622866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472136"/>
        <c:axId val="216472528"/>
      </c:lineChart>
      <c:lineChart>
        <c:grouping val="standard"/>
        <c:varyColors val="0"/>
        <c:ser>
          <c:idx val="1"/>
          <c:order val="1"/>
          <c:tx>
            <c:strRef>
              <c:f>'Shibor Swap Curve'!$H$23</c:f>
              <c:strCache>
                <c:ptCount val="1"/>
                <c:pt idx="0">
                  <c:v>零息收益率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'Shibor Swap Curve'!$F$24:$F$63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'Shibor Swap Curve'!$H$24:$H$63</c:f>
              <c:numCache>
                <c:formatCode>0.0000%</c:formatCode>
                <c:ptCount val="40"/>
                <c:pt idx="0">
                  <c:v>5.5105393776505099E-2</c:v>
                </c:pt>
                <c:pt idx="1">
                  <c:v>5.5262092237168672E-2</c:v>
                </c:pt>
                <c:pt idx="2">
                  <c:v>5.5544819682046158E-2</c:v>
                </c:pt>
                <c:pt idx="3">
                  <c:v>5.5782648327234681E-2</c:v>
                </c:pt>
                <c:pt idx="4">
                  <c:v>5.5824707693198944E-2</c:v>
                </c:pt>
                <c:pt idx="5">
                  <c:v>5.5852205484111281E-2</c:v>
                </c:pt>
                <c:pt idx="6">
                  <c:v>5.5872031477559023E-2</c:v>
                </c:pt>
                <c:pt idx="7">
                  <c:v>5.588686023430213E-2</c:v>
                </c:pt>
                <c:pt idx="8">
                  <c:v>5.5910484245892213E-2</c:v>
                </c:pt>
                <c:pt idx="9">
                  <c:v>5.5929516104595851E-2</c:v>
                </c:pt>
                <c:pt idx="10">
                  <c:v>5.5945250029901236E-2</c:v>
                </c:pt>
                <c:pt idx="11">
                  <c:v>5.5958342493294039E-2</c:v>
                </c:pt>
                <c:pt idx="12">
                  <c:v>5.59742713651303E-2</c:v>
                </c:pt>
                <c:pt idx="13">
                  <c:v>5.5988202961795921E-2</c:v>
                </c:pt>
                <c:pt idx="14">
                  <c:v>5.6000404892902908E-2</c:v>
                </c:pt>
                <c:pt idx="15">
                  <c:v>5.6011070098942337E-2</c:v>
                </c:pt>
                <c:pt idx="16">
                  <c:v>5.6017691586777947E-2</c:v>
                </c:pt>
                <c:pt idx="17">
                  <c:v>5.6023620872935338E-2</c:v>
                </c:pt>
                <c:pt idx="18">
                  <c:v>5.6028982684540124E-2</c:v>
                </c:pt>
                <c:pt idx="19">
                  <c:v>5.6033804204066485E-2</c:v>
                </c:pt>
                <c:pt idx="20">
                  <c:v>5.6104711142510873E-2</c:v>
                </c:pt>
                <c:pt idx="21">
                  <c:v>5.6170662924897509E-2</c:v>
                </c:pt>
                <c:pt idx="22">
                  <c:v>5.6231526300889519E-2</c:v>
                </c:pt>
                <c:pt idx="23">
                  <c:v>5.6287278375565922E-2</c:v>
                </c:pt>
                <c:pt idx="24">
                  <c:v>5.6338002130623753E-2</c:v>
                </c:pt>
                <c:pt idx="25">
                  <c:v>5.6384835568184528E-2</c:v>
                </c:pt>
                <c:pt idx="26">
                  <c:v>5.6428668567383274E-2</c:v>
                </c:pt>
                <c:pt idx="27">
                  <c:v>5.646934737344448E-2</c:v>
                </c:pt>
                <c:pt idx="28">
                  <c:v>5.6576687913070411E-2</c:v>
                </c:pt>
                <c:pt idx="29">
                  <c:v>5.6678818282990311E-2</c:v>
                </c:pt>
                <c:pt idx="30">
                  <c:v>5.6775394201152685E-2</c:v>
                </c:pt>
                <c:pt idx="31">
                  <c:v>5.6865888678883245E-2</c:v>
                </c:pt>
                <c:pt idx="32">
                  <c:v>5.6949066631846658E-2</c:v>
                </c:pt>
                <c:pt idx="33">
                  <c:v>5.7028263051257522E-2</c:v>
                </c:pt>
                <c:pt idx="34">
                  <c:v>5.7103743780434056E-2</c:v>
                </c:pt>
                <c:pt idx="35">
                  <c:v>5.7174999242142248E-2</c:v>
                </c:pt>
                <c:pt idx="36">
                  <c:v>5.7240948914523804E-2</c:v>
                </c:pt>
                <c:pt idx="37">
                  <c:v>5.7304151106481217E-2</c:v>
                </c:pt>
                <c:pt idx="38">
                  <c:v>5.7364763249357201E-2</c:v>
                </c:pt>
                <c:pt idx="39">
                  <c:v>5.742232154932813E-2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09600"/>
        <c:axId val="215709208"/>
      </c:lineChart>
      <c:dateAx>
        <c:axId val="216472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期限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yyyy&quot;年&quot;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6472528"/>
        <c:crosses val="autoZero"/>
        <c:auto val="1"/>
        <c:lblOffset val="100"/>
        <c:baseTimeUnit val="months"/>
        <c:majorUnit val="1"/>
        <c:majorTimeUnit val="years"/>
      </c:dateAx>
      <c:valAx>
        <c:axId val="216472528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折现因子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6472136"/>
        <c:crosses val="autoZero"/>
        <c:crossBetween val="between"/>
        <c:majorUnit val="0.1"/>
      </c:valAx>
      <c:valAx>
        <c:axId val="215709208"/>
        <c:scaling>
          <c:orientation val="minMax"/>
          <c:min val="5.4000000000000013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零息收益率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09600"/>
        <c:crosses val="max"/>
        <c:crossBetween val="between"/>
        <c:majorUnit val="1.0000000000000002E-3"/>
      </c:valAx>
      <c:dateAx>
        <c:axId val="2157096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570920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华文楷体" panose="02010600040101010101" pitchFamily="2" charset="-122"/>
              <a:ea typeface="华文楷体" panose="02010600040101010101" pitchFamily="2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r>
              <a:rPr lang="zh-CN"/>
              <a:t>中国银行间</a:t>
            </a:r>
            <a:r>
              <a:rPr lang="en-US"/>
              <a:t>FR007</a:t>
            </a:r>
            <a:r>
              <a:rPr lang="zh-CN"/>
              <a:t>互换收益率曲线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华文楷体" panose="02010600040101010101" pitchFamily="2" charset="-122"/>
              <a:ea typeface="华文楷体" panose="02010600040101010101" pitchFamily="2" charset="-122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'Repo Swap Curve'!$G$22</c:f>
              <c:strCache>
                <c:ptCount val="1"/>
                <c:pt idx="0">
                  <c:v>折现因子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'Repo Swap Curve'!$F$23:$F$62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'Repo Swap Curve'!$G$23:$G$62</c:f>
              <c:numCache>
                <c:formatCode>0.0000</c:formatCode>
                <c:ptCount val="40"/>
                <c:pt idx="0">
                  <c:v>0.98773724646733407</c:v>
                </c:pt>
                <c:pt idx="1">
                  <c:v>0.97550526296126194</c:v>
                </c:pt>
                <c:pt idx="2">
                  <c:v>0.96340891778055859</c:v>
                </c:pt>
                <c:pt idx="3">
                  <c:v>0.95151609564360684</c:v>
                </c:pt>
                <c:pt idx="4">
                  <c:v>0.93993190384424163</c:v>
                </c:pt>
                <c:pt idx="5">
                  <c:v>0.92835458942738935</c:v>
                </c:pt>
                <c:pt idx="6">
                  <c:v>0.91679500428751182</c:v>
                </c:pt>
                <c:pt idx="7">
                  <c:v>0.90537935553802618</c:v>
                </c:pt>
                <c:pt idx="8">
                  <c:v>0.89395229887486372</c:v>
                </c:pt>
                <c:pt idx="9">
                  <c:v>0.88264681542730516</c:v>
                </c:pt>
                <c:pt idx="10">
                  <c:v>0.87136243078779918</c:v>
                </c:pt>
                <c:pt idx="11">
                  <c:v>0.86022231374714087</c:v>
                </c:pt>
                <c:pt idx="12">
                  <c:v>0.84943297630700076</c:v>
                </c:pt>
                <c:pt idx="13">
                  <c:v>0.83866067696125046</c:v>
                </c:pt>
                <c:pt idx="14">
                  <c:v>0.82790886595842283</c:v>
                </c:pt>
                <c:pt idx="15">
                  <c:v>0.81729489549470269</c:v>
                </c:pt>
                <c:pt idx="16">
                  <c:v>0.80697036797762156</c:v>
                </c:pt>
                <c:pt idx="17">
                  <c:v>0.79666206880828738</c:v>
                </c:pt>
                <c:pt idx="18">
                  <c:v>0.78637434280213026</c:v>
                </c:pt>
                <c:pt idx="19">
                  <c:v>0.77621946773807471</c:v>
                </c:pt>
                <c:pt idx="20">
                  <c:v>0.76610505132313556</c:v>
                </c:pt>
                <c:pt idx="21">
                  <c:v>0.75598639947448321</c:v>
                </c:pt>
                <c:pt idx="22">
                  <c:v>0.74589240439835935</c:v>
                </c:pt>
                <c:pt idx="23">
                  <c:v>0.73593318520797579</c:v>
                </c:pt>
                <c:pt idx="24">
                  <c:v>0.72621304085945826</c:v>
                </c:pt>
                <c:pt idx="25">
                  <c:v>0.71662127936967723</c:v>
                </c:pt>
                <c:pt idx="26">
                  <c:v>0.70705289074465505</c:v>
                </c:pt>
                <c:pt idx="27">
                  <c:v>0.69761226006307553</c:v>
                </c:pt>
                <c:pt idx="28">
                  <c:v>0.68835075426533765</c:v>
                </c:pt>
                <c:pt idx="29">
                  <c:v>0.67909889206150398</c:v>
                </c:pt>
                <c:pt idx="30">
                  <c:v>0.66987176282585226</c:v>
                </c:pt>
                <c:pt idx="31">
                  <c:v>0.66077000548364162</c:v>
                </c:pt>
                <c:pt idx="32">
                  <c:v>0.6519857892370875</c:v>
                </c:pt>
                <c:pt idx="33">
                  <c:v>0.64322269477761063</c:v>
                </c:pt>
                <c:pt idx="34">
                  <c:v>0.63448302666535639</c:v>
                </c:pt>
                <c:pt idx="35">
                  <c:v>0.62586210715966173</c:v>
                </c:pt>
                <c:pt idx="36">
                  <c:v>0.61754195333277839</c:v>
                </c:pt>
                <c:pt idx="37">
                  <c:v>0.60924180544753492</c:v>
                </c:pt>
                <c:pt idx="38">
                  <c:v>0.60096384631619093</c:v>
                </c:pt>
                <c:pt idx="39">
                  <c:v>0.59279836240694661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10384"/>
        <c:axId val="215710776"/>
      </c:lineChart>
      <c:lineChart>
        <c:grouping val="standard"/>
        <c:varyColors val="0"/>
        <c:ser>
          <c:idx val="1"/>
          <c:order val="1"/>
          <c:tx>
            <c:strRef>
              <c:f>'Repo Swap Curve'!$H$22</c:f>
              <c:strCache>
                <c:ptCount val="1"/>
                <c:pt idx="0">
                  <c:v>零息收益率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'Repo Swap Curve'!$F$23:$F$62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'Repo Swap Curve'!$H$23:$H$62</c:f>
              <c:numCache>
                <c:formatCode>0.0000%</c:formatCode>
                <c:ptCount val="40"/>
                <c:pt idx="0">
                  <c:v>4.9354245899987138E-2</c:v>
                </c:pt>
                <c:pt idx="1">
                  <c:v>4.9325417485414566E-2</c:v>
                </c:pt>
                <c:pt idx="2">
                  <c:v>4.9156916383910877E-2</c:v>
                </c:pt>
                <c:pt idx="3">
                  <c:v>4.9017872530704519E-2</c:v>
                </c:pt>
                <c:pt idx="4">
                  <c:v>4.9013682773601616E-2</c:v>
                </c:pt>
                <c:pt idx="5">
                  <c:v>4.9016385825325214E-2</c:v>
                </c:pt>
                <c:pt idx="6">
                  <c:v>4.9018334734091458E-2</c:v>
                </c:pt>
                <c:pt idx="7">
                  <c:v>4.9019792411059193E-2</c:v>
                </c:pt>
                <c:pt idx="8">
                  <c:v>4.9155944446215044E-2</c:v>
                </c:pt>
                <c:pt idx="9">
                  <c:v>4.9275055626733705E-2</c:v>
                </c:pt>
                <c:pt idx="10">
                  <c:v>4.9373526640337978E-2</c:v>
                </c:pt>
                <c:pt idx="11">
                  <c:v>4.9455466023921035E-2</c:v>
                </c:pt>
                <c:pt idx="12">
                  <c:v>4.9533765570684139E-2</c:v>
                </c:pt>
                <c:pt idx="13">
                  <c:v>4.9601936605846067E-2</c:v>
                </c:pt>
                <c:pt idx="14">
                  <c:v>4.9661643924002297E-2</c:v>
                </c:pt>
                <c:pt idx="15">
                  <c:v>4.9713831634669969E-2</c:v>
                </c:pt>
                <c:pt idx="16">
                  <c:v>4.9779883201240466E-2</c:v>
                </c:pt>
                <c:pt idx="17">
                  <c:v>4.9839762411821135E-2</c:v>
                </c:pt>
                <c:pt idx="18">
                  <c:v>4.9893910759135893E-2</c:v>
                </c:pt>
                <c:pt idx="19">
                  <c:v>4.9942602756009292E-2</c:v>
                </c:pt>
                <c:pt idx="20">
                  <c:v>5.0061039317896794E-2</c:v>
                </c:pt>
                <c:pt idx="21">
                  <c:v>5.017612431884224E-2</c:v>
                </c:pt>
                <c:pt idx="22">
                  <c:v>5.0282330116928516E-2</c:v>
                </c:pt>
                <c:pt idx="23">
                  <c:v>5.0379616760816766E-2</c:v>
                </c:pt>
                <c:pt idx="24">
                  <c:v>5.0468129052487161E-2</c:v>
                </c:pt>
                <c:pt idx="25">
                  <c:v>5.054985279081408E-2</c:v>
                </c:pt>
                <c:pt idx="26">
                  <c:v>5.0626340803293444E-2</c:v>
                </c:pt>
                <c:pt idx="27">
                  <c:v>5.0697324789845469E-2</c:v>
                </c:pt>
                <c:pt idx="28">
                  <c:v>5.0791247199666094E-2</c:v>
                </c:pt>
                <c:pt idx="29">
                  <c:v>5.0882347189177092E-2</c:v>
                </c:pt>
                <c:pt idx="30">
                  <c:v>5.0968492624061126E-2</c:v>
                </c:pt>
                <c:pt idx="31">
                  <c:v>5.1049213431970906E-2</c:v>
                </c:pt>
                <c:pt idx="32">
                  <c:v>5.1123407921312931E-2</c:v>
                </c:pt>
                <c:pt idx="33">
                  <c:v>5.1194050894439361E-2</c:v>
                </c:pt>
                <c:pt idx="34">
                  <c:v>5.1261379482807928E-2</c:v>
                </c:pt>
                <c:pt idx="35">
                  <c:v>5.1324939145025054E-2</c:v>
                </c:pt>
                <c:pt idx="36">
                  <c:v>5.1383766058771929E-2</c:v>
                </c:pt>
                <c:pt idx="37">
                  <c:v>5.1440142228063319E-2</c:v>
                </c:pt>
                <c:pt idx="38">
                  <c:v>5.1494208081193718E-2</c:v>
                </c:pt>
                <c:pt idx="39">
                  <c:v>5.1545549915436945E-2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11560"/>
        <c:axId val="215711168"/>
      </c:lineChart>
      <c:dateAx>
        <c:axId val="21571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/>
                  <a:t>期限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yyyy&quot;年&quot;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0776"/>
        <c:crosses val="autoZero"/>
        <c:auto val="1"/>
        <c:lblOffset val="100"/>
        <c:baseTimeUnit val="months"/>
        <c:majorUnit val="1"/>
        <c:majorTimeUnit val="years"/>
      </c:dateAx>
      <c:valAx>
        <c:axId val="215710776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/>
                  <a:t>折现因子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0384"/>
        <c:crosses val="autoZero"/>
        <c:crossBetween val="between"/>
        <c:majorUnit val="0.1"/>
      </c:valAx>
      <c:valAx>
        <c:axId val="215711168"/>
        <c:scaling>
          <c:orientation val="minMax"/>
          <c:max val="5.2000000000000011E-2"/>
          <c:min val="4.8000000000000008E-2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/>
                  <a:t>零息收益率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1560"/>
        <c:crosses val="max"/>
        <c:crossBetween val="between"/>
        <c:majorUnit val="1.0000000000000002E-3"/>
      </c:valAx>
      <c:dateAx>
        <c:axId val="215711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571116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华文楷体" panose="02010600040101010101" pitchFamily="2" charset="-122"/>
              <a:ea typeface="华文楷体" panose="02010600040101010101" pitchFamily="2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华文楷体" panose="02010600040101010101" pitchFamily="2" charset="-122"/>
          <a:ea typeface="华文楷体" panose="02010600040101010101" pitchFamily="2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Shibor 3M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Comparing!$A$2:$A$41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Comparing!$B$2:$B$41</c:f>
              <c:numCache>
                <c:formatCode>0.0000%</c:formatCode>
                <c:ptCount val="40"/>
                <c:pt idx="0">
                  <c:v>5.5105393776505099E-2</c:v>
                </c:pt>
                <c:pt idx="1">
                  <c:v>5.5262092237168672E-2</c:v>
                </c:pt>
                <c:pt idx="2">
                  <c:v>5.5544819682046158E-2</c:v>
                </c:pt>
                <c:pt idx="3">
                  <c:v>5.5782648327234681E-2</c:v>
                </c:pt>
                <c:pt idx="4">
                  <c:v>5.5824707693198944E-2</c:v>
                </c:pt>
                <c:pt idx="5">
                  <c:v>5.5852205484111281E-2</c:v>
                </c:pt>
                <c:pt idx="6">
                  <c:v>5.5872031477559023E-2</c:v>
                </c:pt>
                <c:pt idx="7">
                  <c:v>5.588686023430213E-2</c:v>
                </c:pt>
                <c:pt idx="8">
                  <c:v>5.5910484245892213E-2</c:v>
                </c:pt>
                <c:pt idx="9">
                  <c:v>5.5929516104595851E-2</c:v>
                </c:pt>
                <c:pt idx="10">
                  <c:v>5.5945250029901236E-2</c:v>
                </c:pt>
                <c:pt idx="11">
                  <c:v>5.5958342493294039E-2</c:v>
                </c:pt>
                <c:pt idx="12">
                  <c:v>5.59742713651303E-2</c:v>
                </c:pt>
                <c:pt idx="13">
                  <c:v>5.5988202961795921E-2</c:v>
                </c:pt>
                <c:pt idx="14">
                  <c:v>5.6000404892902908E-2</c:v>
                </c:pt>
                <c:pt idx="15">
                  <c:v>5.6011070098942337E-2</c:v>
                </c:pt>
                <c:pt idx="16">
                  <c:v>5.6017691586777947E-2</c:v>
                </c:pt>
                <c:pt idx="17">
                  <c:v>5.6023620872935338E-2</c:v>
                </c:pt>
                <c:pt idx="18">
                  <c:v>5.6028982684540124E-2</c:v>
                </c:pt>
                <c:pt idx="19">
                  <c:v>5.6033804204066485E-2</c:v>
                </c:pt>
                <c:pt idx="20">
                  <c:v>5.6104711142510873E-2</c:v>
                </c:pt>
                <c:pt idx="21">
                  <c:v>5.6170662924897509E-2</c:v>
                </c:pt>
                <c:pt idx="22">
                  <c:v>5.6231526300889519E-2</c:v>
                </c:pt>
                <c:pt idx="23">
                  <c:v>5.6287278375565922E-2</c:v>
                </c:pt>
                <c:pt idx="24">
                  <c:v>5.6338002130623753E-2</c:v>
                </c:pt>
                <c:pt idx="25">
                  <c:v>5.6384835568184528E-2</c:v>
                </c:pt>
                <c:pt idx="26">
                  <c:v>5.6428668567383274E-2</c:v>
                </c:pt>
                <c:pt idx="27">
                  <c:v>5.646934737344448E-2</c:v>
                </c:pt>
                <c:pt idx="28">
                  <c:v>5.6576687913070411E-2</c:v>
                </c:pt>
                <c:pt idx="29">
                  <c:v>5.6678818282990311E-2</c:v>
                </c:pt>
                <c:pt idx="30">
                  <c:v>5.6775394201152685E-2</c:v>
                </c:pt>
                <c:pt idx="31">
                  <c:v>5.6865888678883245E-2</c:v>
                </c:pt>
                <c:pt idx="32">
                  <c:v>5.6949066631846658E-2</c:v>
                </c:pt>
                <c:pt idx="33">
                  <c:v>5.7028263051257522E-2</c:v>
                </c:pt>
                <c:pt idx="34">
                  <c:v>5.7103743780434056E-2</c:v>
                </c:pt>
                <c:pt idx="35">
                  <c:v>5.7174999242142248E-2</c:v>
                </c:pt>
                <c:pt idx="36">
                  <c:v>5.7240948914523804E-2</c:v>
                </c:pt>
                <c:pt idx="37">
                  <c:v>5.7304151106481217E-2</c:v>
                </c:pt>
                <c:pt idx="38">
                  <c:v>5.7364763249357201E-2</c:v>
                </c:pt>
                <c:pt idx="39">
                  <c:v>5.742232154932813E-2</c:v>
                </c:pt>
              </c:numCache>
            </c:numRef>
          </c:val>
          <c:smooth val="1"/>
        </c:ser>
        <c:ser>
          <c:idx val="1"/>
          <c:order val="1"/>
          <c:tx>
            <c:v>Repo 7D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Comparing!$A$2:$A$41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Comparing!$C$2:$C$41</c:f>
              <c:numCache>
                <c:formatCode>0.0000%</c:formatCode>
                <c:ptCount val="40"/>
                <c:pt idx="0">
                  <c:v>4.9354245899987138E-2</c:v>
                </c:pt>
                <c:pt idx="1">
                  <c:v>4.9325417485414566E-2</c:v>
                </c:pt>
                <c:pt idx="2">
                  <c:v>4.9156916383910877E-2</c:v>
                </c:pt>
                <c:pt idx="3">
                  <c:v>4.9017872530704519E-2</c:v>
                </c:pt>
                <c:pt idx="4">
                  <c:v>4.9013682773601616E-2</c:v>
                </c:pt>
                <c:pt idx="5">
                  <c:v>4.9016385825325214E-2</c:v>
                </c:pt>
                <c:pt idx="6">
                  <c:v>4.9018334734091458E-2</c:v>
                </c:pt>
                <c:pt idx="7">
                  <c:v>4.9019792411059193E-2</c:v>
                </c:pt>
                <c:pt idx="8">
                  <c:v>4.9155944446215044E-2</c:v>
                </c:pt>
                <c:pt idx="9">
                  <c:v>4.9275055626733705E-2</c:v>
                </c:pt>
                <c:pt idx="10">
                  <c:v>4.9373526640337978E-2</c:v>
                </c:pt>
                <c:pt idx="11">
                  <c:v>4.9455466023921035E-2</c:v>
                </c:pt>
                <c:pt idx="12">
                  <c:v>4.9533765570684139E-2</c:v>
                </c:pt>
                <c:pt idx="13">
                  <c:v>4.9601936605846067E-2</c:v>
                </c:pt>
                <c:pt idx="14">
                  <c:v>4.9661643924002297E-2</c:v>
                </c:pt>
                <c:pt idx="15">
                  <c:v>4.9713831634669969E-2</c:v>
                </c:pt>
                <c:pt idx="16">
                  <c:v>4.9779883201240466E-2</c:v>
                </c:pt>
                <c:pt idx="17">
                  <c:v>4.9839762411821135E-2</c:v>
                </c:pt>
                <c:pt idx="18">
                  <c:v>4.9893910759135893E-2</c:v>
                </c:pt>
                <c:pt idx="19">
                  <c:v>4.9942602756009292E-2</c:v>
                </c:pt>
                <c:pt idx="20">
                  <c:v>5.0061039317896794E-2</c:v>
                </c:pt>
                <c:pt idx="21">
                  <c:v>5.017612431884224E-2</c:v>
                </c:pt>
                <c:pt idx="22">
                  <c:v>5.0282330116928516E-2</c:v>
                </c:pt>
                <c:pt idx="23">
                  <c:v>5.0379616760816766E-2</c:v>
                </c:pt>
                <c:pt idx="24">
                  <c:v>5.0468129052487161E-2</c:v>
                </c:pt>
                <c:pt idx="25">
                  <c:v>5.054985279081408E-2</c:v>
                </c:pt>
                <c:pt idx="26">
                  <c:v>5.0626340803293444E-2</c:v>
                </c:pt>
                <c:pt idx="27">
                  <c:v>5.0697324789845469E-2</c:v>
                </c:pt>
                <c:pt idx="28">
                  <c:v>5.0791247199666094E-2</c:v>
                </c:pt>
                <c:pt idx="29">
                  <c:v>5.0882347189177092E-2</c:v>
                </c:pt>
                <c:pt idx="30">
                  <c:v>5.0968492624061126E-2</c:v>
                </c:pt>
                <c:pt idx="31">
                  <c:v>5.1049213431970906E-2</c:v>
                </c:pt>
                <c:pt idx="32">
                  <c:v>5.1123407921312931E-2</c:v>
                </c:pt>
                <c:pt idx="33">
                  <c:v>5.1194050894439361E-2</c:v>
                </c:pt>
                <c:pt idx="34">
                  <c:v>5.1261379482807928E-2</c:v>
                </c:pt>
                <c:pt idx="35">
                  <c:v>5.1324939145025054E-2</c:v>
                </c:pt>
                <c:pt idx="36">
                  <c:v>5.1383766058771929E-2</c:v>
                </c:pt>
                <c:pt idx="37">
                  <c:v>5.1440142228063319E-2</c:v>
                </c:pt>
                <c:pt idx="38">
                  <c:v>5.1494208081193718E-2</c:v>
                </c:pt>
                <c:pt idx="39">
                  <c:v>5.1545549915436945E-2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12344"/>
        <c:axId val="215712736"/>
      </c:lineChart>
      <c:lineChart>
        <c:grouping val="standard"/>
        <c:varyColors val="0"/>
        <c:ser>
          <c:idx val="2"/>
          <c:order val="2"/>
          <c:tx>
            <c:strRef>
              <c:f>Comparing!$D$1</c:f>
              <c:strCache>
                <c:ptCount val="1"/>
                <c:pt idx="0">
                  <c:v>Basis Diff.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Comparing!$A$2:$A$41</c:f>
              <c:numCache>
                <c:formatCode>m/d/yyyy</c:formatCode>
                <c:ptCount val="40"/>
                <c:pt idx="0">
                  <c:v>41736</c:v>
                </c:pt>
                <c:pt idx="1">
                  <c:v>41827</c:v>
                </c:pt>
                <c:pt idx="2">
                  <c:v>41919</c:v>
                </c:pt>
                <c:pt idx="3">
                  <c:v>42011</c:v>
                </c:pt>
                <c:pt idx="4">
                  <c:v>42101</c:v>
                </c:pt>
                <c:pt idx="5">
                  <c:v>42192</c:v>
                </c:pt>
                <c:pt idx="6">
                  <c:v>42284</c:v>
                </c:pt>
                <c:pt idx="7">
                  <c:v>42376</c:v>
                </c:pt>
                <c:pt idx="8">
                  <c:v>42467</c:v>
                </c:pt>
                <c:pt idx="9">
                  <c:v>42558</c:v>
                </c:pt>
                <c:pt idx="10">
                  <c:v>42650</c:v>
                </c:pt>
                <c:pt idx="11">
                  <c:v>42742</c:v>
                </c:pt>
                <c:pt idx="12">
                  <c:v>42832</c:v>
                </c:pt>
                <c:pt idx="13">
                  <c:v>42923</c:v>
                </c:pt>
                <c:pt idx="14">
                  <c:v>43015</c:v>
                </c:pt>
                <c:pt idx="15">
                  <c:v>43107</c:v>
                </c:pt>
                <c:pt idx="16">
                  <c:v>43197</c:v>
                </c:pt>
                <c:pt idx="17">
                  <c:v>43288</c:v>
                </c:pt>
                <c:pt idx="18">
                  <c:v>43380</c:v>
                </c:pt>
                <c:pt idx="19">
                  <c:v>43472</c:v>
                </c:pt>
                <c:pt idx="20">
                  <c:v>43562</c:v>
                </c:pt>
                <c:pt idx="21">
                  <c:v>43653</c:v>
                </c:pt>
                <c:pt idx="22">
                  <c:v>43745</c:v>
                </c:pt>
                <c:pt idx="23">
                  <c:v>43837</c:v>
                </c:pt>
                <c:pt idx="24">
                  <c:v>43928</c:v>
                </c:pt>
                <c:pt idx="25">
                  <c:v>44019</c:v>
                </c:pt>
                <c:pt idx="26">
                  <c:v>44111</c:v>
                </c:pt>
                <c:pt idx="27">
                  <c:v>44203</c:v>
                </c:pt>
                <c:pt idx="28">
                  <c:v>44293</c:v>
                </c:pt>
                <c:pt idx="29">
                  <c:v>44384</c:v>
                </c:pt>
                <c:pt idx="30">
                  <c:v>44476</c:v>
                </c:pt>
                <c:pt idx="31">
                  <c:v>44568</c:v>
                </c:pt>
                <c:pt idx="32">
                  <c:v>44658</c:v>
                </c:pt>
                <c:pt idx="33">
                  <c:v>44749</c:v>
                </c:pt>
                <c:pt idx="34">
                  <c:v>44841</c:v>
                </c:pt>
                <c:pt idx="35">
                  <c:v>44933</c:v>
                </c:pt>
                <c:pt idx="36">
                  <c:v>45023</c:v>
                </c:pt>
                <c:pt idx="37">
                  <c:v>45114</c:v>
                </c:pt>
                <c:pt idx="38">
                  <c:v>45206</c:v>
                </c:pt>
                <c:pt idx="39">
                  <c:v>45298</c:v>
                </c:pt>
              </c:numCache>
            </c:numRef>
          </c:cat>
          <c:val>
            <c:numRef>
              <c:f>Comparing!$D$2:$D$41</c:f>
              <c:numCache>
                <c:formatCode>0.0000</c:formatCode>
                <c:ptCount val="40"/>
                <c:pt idx="0">
                  <c:v>57.511478765179604</c:v>
                </c:pt>
                <c:pt idx="1">
                  <c:v>59.366747517541064</c:v>
                </c:pt>
                <c:pt idx="2">
                  <c:v>63.879032981352807</c:v>
                </c:pt>
                <c:pt idx="3">
                  <c:v>67.647757965301622</c:v>
                </c:pt>
                <c:pt idx="4">
                  <c:v>68.110249195973282</c:v>
                </c:pt>
                <c:pt idx="5">
                  <c:v>68.358196587860675</c:v>
                </c:pt>
                <c:pt idx="6">
                  <c:v>68.536967434675645</c:v>
                </c:pt>
                <c:pt idx="7">
                  <c:v>68.670678232429367</c:v>
                </c:pt>
                <c:pt idx="8">
                  <c:v>67.545397996771683</c:v>
                </c:pt>
                <c:pt idx="9">
                  <c:v>66.544604778621462</c:v>
                </c:pt>
                <c:pt idx="10">
                  <c:v>65.717233895632589</c:v>
                </c:pt>
                <c:pt idx="11">
                  <c:v>65.028764693730039</c:v>
                </c:pt>
                <c:pt idx="12">
                  <c:v>64.405057944461603</c:v>
                </c:pt>
                <c:pt idx="13">
                  <c:v>63.862663559498543</c:v>
                </c:pt>
                <c:pt idx="14">
                  <c:v>63.387609689006112</c:v>
                </c:pt>
                <c:pt idx="15">
                  <c:v>62.972384642723675</c:v>
                </c:pt>
                <c:pt idx="16">
                  <c:v>62.378083855374811</c:v>
                </c:pt>
                <c:pt idx="17">
                  <c:v>61.838584611142025</c:v>
                </c:pt>
                <c:pt idx="18">
                  <c:v>61.350719254042311</c:v>
                </c:pt>
                <c:pt idx="19">
                  <c:v>60.912014480571926</c:v>
                </c:pt>
                <c:pt idx="20">
                  <c:v>60.436718246140792</c:v>
                </c:pt>
                <c:pt idx="21">
                  <c:v>59.945386060552693</c:v>
                </c:pt>
                <c:pt idx="22">
                  <c:v>59.491961839610028</c:v>
                </c:pt>
                <c:pt idx="23">
                  <c:v>59.076616147491556</c:v>
                </c:pt>
                <c:pt idx="24">
                  <c:v>58.698730781365924</c:v>
                </c:pt>
                <c:pt idx="25">
                  <c:v>58.349827773704483</c:v>
                </c:pt>
                <c:pt idx="26">
                  <c:v>58.023277640898293</c:v>
                </c:pt>
                <c:pt idx="27">
                  <c:v>57.720225835990114</c:v>
                </c:pt>
                <c:pt idx="28">
                  <c:v>57.854407134043178</c:v>
                </c:pt>
                <c:pt idx="29">
                  <c:v>57.964710938132185</c:v>
                </c:pt>
                <c:pt idx="30">
                  <c:v>58.069015770915584</c:v>
                </c:pt>
                <c:pt idx="31">
                  <c:v>58.166752469123381</c:v>
                </c:pt>
                <c:pt idx="32">
                  <c:v>58.256587105337267</c:v>
                </c:pt>
                <c:pt idx="33">
                  <c:v>58.342121568181611</c:v>
                </c:pt>
                <c:pt idx="34">
                  <c:v>58.423642976261277</c:v>
                </c:pt>
                <c:pt idx="35">
                  <c:v>58.500600971171934</c:v>
                </c:pt>
                <c:pt idx="36">
                  <c:v>58.571828557518742</c:v>
                </c:pt>
                <c:pt idx="37">
                  <c:v>58.640088784178978</c:v>
                </c:pt>
                <c:pt idx="38">
                  <c:v>58.70555168163483</c:v>
                </c:pt>
                <c:pt idx="39">
                  <c:v>58.767716338911853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713520"/>
        <c:axId val="215713128"/>
      </c:lineChart>
      <c:dateAx>
        <c:axId val="215712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yyyy&quot;年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2736"/>
        <c:crosses val="autoZero"/>
        <c:auto val="1"/>
        <c:lblOffset val="100"/>
        <c:baseTimeUnit val="months"/>
        <c:majorUnit val="1"/>
        <c:majorTimeUnit val="years"/>
      </c:dateAx>
      <c:valAx>
        <c:axId val="215712736"/>
        <c:scaling>
          <c:orientation val="minMax"/>
          <c:min val="4.8000000000000008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零息收益率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2344"/>
        <c:crosses val="autoZero"/>
        <c:crossBetween val="between"/>
        <c:majorUnit val="2.0000000000000005E-3"/>
      </c:valAx>
      <c:valAx>
        <c:axId val="215713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华文楷体" panose="02010600040101010101" pitchFamily="2" charset="-122"/>
                    <a:ea typeface="华文楷体" panose="02010600040101010101" pitchFamily="2" charset="-122"/>
                    <a:cs typeface="+mn-cs"/>
                  </a:defRPr>
                </a:pP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基差（</a:t>
                </a:r>
                <a:r>
                  <a:rPr lang="en-US" altLang="zh-CN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BP</a:t>
                </a:r>
                <a:r>
                  <a:rPr lang="zh-CN" altLang="en-US" sz="1100">
                    <a:latin typeface="华文楷体" panose="02010600040101010101" pitchFamily="2" charset="-122"/>
                    <a:ea typeface="华文楷体" panose="02010600040101010101" pitchFamily="2" charset="-122"/>
                  </a:rPr>
                  <a:t>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华文楷体" panose="02010600040101010101" pitchFamily="2" charset="-122"/>
                  <a:ea typeface="华文楷体" panose="02010600040101010101" pitchFamily="2" charset="-122"/>
                  <a:cs typeface="+mn-cs"/>
                </a:defRPr>
              </a:pPr>
              <a:endParaRPr lang="zh-CN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华文楷体" panose="02010600040101010101" pitchFamily="2" charset="-122"/>
                <a:ea typeface="华文楷体" panose="02010600040101010101" pitchFamily="2" charset="-122"/>
                <a:cs typeface="+mn-cs"/>
              </a:defRPr>
            </a:pPr>
            <a:endParaRPr lang="zh-CN"/>
          </a:p>
        </c:txPr>
        <c:crossAx val="215713520"/>
        <c:crosses val="max"/>
        <c:crossBetween val="between"/>
        <c:majorUnit val="5"/>
      </c:valAx>
      <c:dateAx>
        <c:axId val="21571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15713128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华文楷体" panose="02010600040101010101" pitchFamily="2" charset="-122"/>
              <a:ea typeface="华文楷体" panose="02010600040101010101" pitchFamily="2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22</xdr:row>
      <xdr:rowOff>0</xdr:rowOff>
    </xdr:from>
    <xdr:to>
      <xdr:col>12</xdr:col>
      <xdr:colOff>19050</xdr:colOff>
      <xdr:row>49</xdr:row>
      <xdr:rowOff>85725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20</xdr:row>
      <xdr:rowOff>171450</xdr:rowOff>
    </xdr:from>
    <xdr:to>
      <xdr:col>12</xdr:col>
      <xdr:colOff>2066925</xdr:colOff>
      <xdr:row>46</xdr:row>
      <xdr:rowOff>190500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0</xdr:row>
      <xdr:rowOff>0</xdr:rowOff>
    </xdr:from>
    <xdr:to>
      <xdr:col>17</xdr:col>
      <xdr:colOff>342900</xdr:colOff>
      <xdr:row>23</xdr:row>
      <xdr:rowOff>47625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63"/>
  <sheetViews>
    <sheetView showGridLines="0" workbookViewId="0">
      <selection activeCell="D7" sqref="D7"/>
    </sheetView>
  </sheetViews>
  <sheetFormatPr defaultRowHeight="16.5" x14ac:dyDescent="0.3"/>
  <cols>
    <col min="1" max="1" width="9.140625" style="2"/>
    <col min="2" max="2" width="19" style="2" bestFit="1" customWidth="1"/>
    <col min="3" max="3" width="26.7109375" style="2" bestFit="1" customWidth="1"/>
    <col min="4" max="4" width="12.140625" style="2" customWidth="1"/>
    <col min="5" max="5" width="9.140625" style="2"/>
    <col min="6" max="6" width="12.7109375" style="2" bestFit="1" customWidth="1"/>
    <col min="7" max="7" width="13" style="2" bestFit="1" customWidth="1"/>
    <col min="8" max="8" width="15.7109375" style="2" customWidth="1"/>
    <col min="9" max="10" width="23.5703125" style="2" bestFit="1" customWidth="1"/>
    <col min="11" max="11" width="33.28515625" style="2" bestFit="1" customWidth="1"/>
    <col min="12" max="12" width="14.85546875" style="2" bestFit="1" customWidth="1"/>
    <col min="13" max="16384" width="9.140625" style="2"/>
  </cols>
  <sheetData>
    <row r="1" spans="2:12" x14ac:dyDescent="0.3">
      <c r="B1" s="1" t="s">
        <v>0</v>
      </c>
    </row>
    <row r="2" spans="2:12" x14ac:dyDescent="0.3">
      <c r="B2" s="17" t="s">
        <v>17</v>
      </c>
      <c r="C2" s="16">
        <v>41646</v>
      </c>
      <c r="D2" s="12" t="b">
        <f>_xll.CALSettingsSetEvaluationDate(C2)</f>
        <v>1</v>
      </c>
    </row>
    <row r="4" spans="2:12" x14ac:dyDescent="0.3">
      <c r="I4" s="46" t="s">
        <v>54</v>
      </c>
      <c r="J4" s="50" t="s">
        <v>53</v>
      </c>
      <c r="K4" s="51"/>
      <c r="L4" s="52"/>
    </row>
    <row r="5" spans="2:12" x14ac:dyDescent="0.3">
      <c r="B5" s="15" t="s">
        <v>14</v>
      </c>
      <c r="C5" s="13" t="s">
        <v>15</v>
      </c>
      <c r="D5" s="14" t="s">
        <v>16</v>
      </c>
      <c r="F5" s="8" t="s">
        <v>19</v>
      </c>
      <c r="G5" s="18" t="s">
        <v>35</v>
      </c>
      <c r="I5" s="39" t="s">
        <v>20</v>
      </c>
      <c r="J5" s="39" t="s">
        <v>51</v>
      </c>
      <c r="K5" s="39" t="s">
        <v>52</v>
      </c>
      <c r="L5" s="39" t="s">
        <v>55</v>
      </c>
    </row>
    <row r="6" spans="2:12" x14ac:dyDescent="0.3">
      <c r="B6" s="8" t="s">
        <v>41</v>
      </c>
      <c r="C6" s="3" t="s">
        <v>27</v>
      </c>
      <c r="D6" s="21">
        <v>2.8750000000000001E-2</v>
      </c>
      <c r="F6" s="9" t="s">
        <v>15</v>
      </c>
      <c r="G6" s="19" t="s">
        <v>36</v>
      </c>
      <c r="I6" s="6" t="str">
        <f>_xll.CALDepositRateHelper2(C6&amp;"ShiborDeposit",D6,C6,0,"China","Following",FALSE,"Actual/360",,,TRUE)</f>
        <v>1DShiborDeposit</v>
      </c>
      <c r="J6" s="6"/>
      <c r="K6" s="6" t="str">
        <f>_xll.CALDiscountingSwapEngine("DiscountSwapEngineShibor",C26,FALSE)</f>
        <v>DiscountSwapEngineShibor</v>
      </c>
      <c r="L6" s="6"/>
    </row>
    <row r="7" spans="2:12" x14ac:dyDescent="0.3">
      <c r="B7" s="9"/>
      <c r="C7" s="4" t="s">
        <v>1</v>
      </c>
      <c r="D7" s="22">
        <v>4.2590000000000003E-2</v>
      </c>
      <c r="F7" s="10" t="s">
        <v>19</v>
      </c>
      <c r="G7" s="20" t="str">
        <f>_xll.CALShibor(G5,G6,,,,TRUE)</f>
        <v>Shibor</v>
      </c>
      <c r="I7" s="6" t="str">
        <f>_xll.CALDepositRateHelper2(C7&amp;"ShiborDeposit",D7,C7,1,"China","Following",FALSE,"Actual/360",,,TRUE)</f>
        <v>1WShiborDeposit</v>
      </c>
      <c r="J7" s="6"/>
      <c r="K7" s="6"/>
      <c r="L7" s="6"/>
    </row>
    <row r="8" spans="2:12" x14ac:dyDescent="0.3">
      <c r="B8" s="9"/>
      <c r="C8" s="4" t="s">
        <v>2</v>
      </c>
      <c r="D8" s="22">
        <v>5.074E-2</v>
      </c>
      <c r="I8" s="6" t="str">
        <f>_xll.CALDepositRateHelper2(C8&amp;"ShiborDeposit",D8,C8,1,"China","Following",FALSE,"Actual/360",,,TRUE)</f>
        <v>2WShiborDeposit</v>
      </c>
      <c r="J8" s="6"/>
      <c r="K8" s="6"/>
      <c r="L8" s="6"/>
    </row>
    <row r="9" spans="2:12" x14ac:dyDescent="0.3">
      <c r="B9" s="9"/>
      <c r="C9" s="4" t="s">
        <v>3</v>
      </c>
      <c r="D9" s="22">
        <v>5.9249999999999997E-2</v>
      </c>
      <c r="I9" s="6" t="str">
        <f>_xll.CALDepositRateHelper2(C9&amp;"ShiborDeposit",D9,C9,0,"China","Modified Following",TRUE,"Actual/360",,,TRUE)</f>
        <v>1MShiborDeposit</v>
      </c>
      <c r="J9" s="6"/>
      <c r="K9" s="6"/>
      <c r="L9" s="6"/>
    </row>
    <row r="10" spans="2:12" x14ac:dyDescent="0.3">
      <c r="B10" s="10"/>
      <c r="C10" s="5" t="s">
        <v>4</v>
      </c>
      <c r="D10" s="23">
        <v>5.5759999999999997E-2</v>
      </c>
      <c r="I10" s="7" t="str">
        <f>_xll.CALDepositRateHelper2(C10&amp;"ShiborDeposit",D10,C10,1,"China","Modified Following",TRUE,"Actual/360",,,TRUE)</f>
        <v>3MShiborDeposit</v>
      </c>
      <c r="J10" s="7"/>
      <c r="K10" s="7"/>
      <c r="L10" s="7"/>
    </row>
    <row r="11" spans="2:12" x14ac:dyDescent="0.3">
      <c r="B11" s="8" t="s">
        <v>18</v>
      </c>
      <c r="C11" s="3" t="s">
        <v>5</v>
      </c>
      <c r="D11" s="21">
        <v>5.6571999999999997E-2</v>
      </c>
      <c r="I11" s="6" t="str">
        <f>_xll.CALShiborSwapRateHelper(C11&amp;"ShiborSwap",D11,C11,"Quarterly",$G$5,"0D",,,,TRUE)</f>
        <v>6MShiborSwap</v>
      </c>
      <c r="J11" s="6" t="str">
        <f>_xll.CALShiborSwap("test"&amp;C11&amp;"ShiborRSwap","Payer",10000000,$C$2+1,C11,"3M",D11,"3M",$C$26,,,TRUE)</f>
        <v>test6MShiborRSwap</v>
      </c>
      <c r="K11" s="6" t="b">
        <f>_xll.CALInstrumentSetPricingEngine(J11,$K$6)</f>
        <v>1</v>
      </c>
      <c r="L11" s="6" t="e">
        <f>_xll.CALInstrumentNPV(J11)*10000</f>
        <v>#NUM!</v>
      </c>
    </row>
    <row r="12" spans="2:12" x14ac:dyDescent="0.3">
      <c r="B12" s="9"/>
      <c r="C12" s="4" t="s">
        <v>6</v>
      </c>
      <c r="D12" s="22">
        <v>5.6813000000000002E-2</v>
      </c>
      <c r="I12" s="6" t="str">
        <f>_xll.CALShiborSwapRateHelper(C12&amp;"ShiborSwap",D12,C12,"Quarterly",$G$5,"0D",,,,TRUE)</f>
        <v>9MShiborSwap</v>
      </c>
      <c r="J12" s="6" t="str">
        <f>_xll.CALShiborSwap("test"&amp;C12&amp;"ShiborRSwap","Payer",10000000,$C$2+1,C12,"3M",D12,"3M",$C$26,,,TRUE)</f>
        <v>test9MShiborRSwap</v>
      </c>
      <c r="K12" s="6" t="b">
        <f>_xll.CALInstrumentSetPricingEngine(J12,$K$6)</f>
        <v>1</v>
      </c>
      <c r="L12" s="6" t="e">
        <f>_xll.CALInstrumentNPV(J12)*10000</f>
        <v>#NUM!</v>
      </c>
    </row>
    <row r="13" spans="2:12" x14ac:dyDescent="0.3">
      <c r="B13" s="9"/>
      <c r="C13" s="4" t="s">
        <v>7</v>
      </c>
      <c r="D13" s="22">
        <v>5.7029999999999997E-2</v>
      </c>
      <c r="I13" s="6" t="str">
        <f>_xll.CALShiborSwapRateHelper(C13&amp;"ShiborSwap",D13,C13,"Quarterly",$G$5,"0D",,,,TRUE)</f>
        <v>1YShiborSwap</v>
      </c>
      <c r="J13" s="6" t="str">
        <f>_xll.CALShiborSwap("test"&amp;C13&amp;"ShiborRSwap","Payer",10000000,$C$2+1,C13,"3M",D13,"3M",$C$26,,,TRUE)</f>
        <v>test1YShiborRSwap</v>
      </c>
      <c r="K13" s="6" t="b">
        <f>_xll.CALInstrumentSetPricingEngine(J13,$K$6)</f>
        <v>1</v>
      </c>
      <c r="L13" s="6" t="e">
        <f>_xll.CALInstrumentNPV(J13)*10000</f>
        <v>#NUM!</v>
      </c>
    </row>
    <row r="14" spans="2:12" x14ac:dyDescent="0.3">
      <c r="B14" s="9"/>
      <c r="C14" s="4" t="s">
        <v>8</v>
      </c>
      <c r="D14" s="22">
        <v>5.7098999999999997E-2</v>
      </c>
      <c r="I14" s="6" t="str">
        <f>_xll.CALShiborSwapRateHelper(C14&amp;"ShiborSwap",D14,C14,"Quarterly",$G$5,"0D",,,,TRUE)</f>
        <v>2YShiborSwap</v>
      </c>
      <c r="J14" s="6" t="str">
        <f>_xll.CALShiborSwap("test"&amp;C14&amp;"ShiborRSwap","Payer",10000000,$C$2+1,C14,"3M",D14,"3M",$C$26,,,TRUE)</f>
        <v>test2YShiborRSwap</v>
      </c>
      <c r="K14" s="6" t="b">
        <f>_xll.CALInstrumentSetPricingEngine(J14,$K$6)</f>
        <v>1</v>
      </c>
      <c r="L14" s="6" t="e">
        <f>_xll.CALInstrumentNPV(J14)*10000</f>
        <v>#NUM!</v>
      </c>
    </row>
    <row r="15" spans="2:12" x14ac:dyDescent="0.3">
      <c r="B15" s="9"/>
      <c r="C15" s="4" t="s">
        <v>9</v>
      </c>
      <c r="D15" s="22">
        <v>5.7159000000000001E-2</v>
      </c>
      <c r="I15" s="6" t="str">
        <f>_xll.CALShiborSwapRateHelper(C15&amp;"ShiborSwap",D15,C15,"Quarterly",$G$5,"0D",,,,TRUE)</f>
        <v>3YShiborSwap</v>
      </c>
      <c r="J15" s="6" t="str">
        <f>_xll.CALShiborSwap("test"&amp;C15&amp;"ShiborRSwap","Payer",10000000,$C$2+1,C15,"3M",D15,"3M",$C$26,,,TRUE)</f>
        <v>test3YShiborRSwap</v>
      </c>
      <c r="K15" s="6" t="b">
        <f>_xll.CALInstrumentSetPricingEngine(J15,$K$6)</f>
        <v>1</v>
      </c>
      <c r="L15" s="6" t="e">
        <f>_xll.CALInstrumentNPV(J15)*10000</f>
        <v>#NUM!</v>
      </c>
    </row>
    <row r="16" spans="2:12" x14ac:dyDescent="0.3">
      <c r="B16" s="9"/>
      <c r="C16" s="4" t="s">
        <v>10</v>
      </c>
      <c r="D16" s="22">
        <v>5.7203999999999998E-2</v>
      </c>
      <c r="I16" s="6" t="str">
        <f>_xll.CALShiborSwapRateHelper(C16&amp;"ShiborSwap",D16,C16,"Quarterly",$G$5,"0D",,,,TRUE)</f>
        <v>4YShiborSwap</v>
      </c>
      <c r="J16" s="6" t="str">
        <f>_xll.CALShiborSwap("test"&amp;C16&amp;"ShiborRSwap","Payer",10000000,$C$2+1,C16,"3M",D16,"3M",$C$26,,,TRUE)</f>
        <v>test4YShiborRSwap</v>
      </c>
      <c r="K16" s="6" t="b">
        <f>_xll.CALInstrumentSetPricingEngine(J16,$K$6)</f>
        <v>1</v>
      </c>
      <c r="L16" s="6" t="e">
        <f>_xll.CALInstrumentNPV(J16)*10000</f>
        <v>#NUM!</v>
      </c>
    </row>
    <row r="17" spans="2:12" x14ac:dyDescent="0.3">
      <c r="B17" s="9"/>
      <c r="C17" s="4" t="s">
        <v>11</v>
      </c>
      <c r="D17" s="22">
        <v>5.7223000000000003E-2</v>
      </c>
      <c r="I17" s="6" t="str">
        <f>_xll.CALShiborSwapRateHelper(C17&amp;"ShiborSwap",D17,C17,"Quarterly",$G$5,"0D",,,,TRUE)</f>
        <v>5YShiborSwap</v>
      </c>
      <c r="J17" s="6" t="str">
        <f>_xll.CALShiborSwap("test"&amp;C17&amp;"ShiborRSwap","Payer",10000000,$C$2+1,C17,"3M",D17,"3M",$C$26,,,TRUE)</f>
        <v>test5YShiborRSwap</v>
      </c>
      <c r="K17" s="6" t="b">
        <f>_xll.CALInstrumentSetPricingEngine(J17,$K$6)</f>
        <v>1</v>
      </c>
      <c r="L17" s="6" t="e">
        <f>_xll.CALInstrumentNPV(J17)*10000</f>
        <v>#NUM!</v>
      </c>
    </row>
    <row r="18" spans="2:12" x14ac:dyDescent="0.3">
      <c r="B18" s="9"/>
      <c r="C18" s="4" t="s">
        <v>12</v>
      </c>
      <c r="D18" s="22">
        <v>5.7607999999999999E-2</v>
      </c>
      <c r="I18" s="6" t="str">
        <f>_xll.CALShiborSwapRateHelper(C18&amp;"ShiborSwap",D18,C18,"Quarterly",$G$5,"0D",,,,TRUE)</f>
        <v>7YShiborSwap</v>
      </c>
      <c r="J18" s="6" t="str">
        <f>_xll.CALShiborSwap("test"&amp;C18&amp;"ShiborRSwap","Payer",10000000,$C$2+1,C18,"3M",D18,"3M",$C$26,,,TRUE)</f>
        <v>test7YShiborRSwap</v>
      </c>
      <c r="K18" s="6" t="b">
        <f>_xll.CALInstrumentSetPricingEngine(J18,$K$6)</f>
        <v>1</v>
      </c>
      <c r="L18" s="6" t="e">
        <f>_xll.CALInstrumentNPV(J18)*10000</f>
        <v>#NUM!</v>
      </c>
    </row>
    <row r="19" spans="2:12" x14ac:dyDescent="0.3">
      <c r="B19" s="10"/>
      <c r="C19" s="5" t="s">
        <v>13</v>
      </c>
      <c r="D19" s="23">
        <v>5.8410999999999998E-2</v>
      </c>
      <c r="I19" s="7" t="str">
        <f>_xll.CALShiborSwapRateHelper(C19&amp;"ShiborSwap",D19,C19,"Quarterly",$G$5,"0D",,,,TRUE)</f>
        <v>10YShiborSwap</v>
      </c>
      <c r="J19" s="7" t="str">
        <f>_xll.CALShiborSwap("test"&amp;C19&amp;"ShiborRSwap","Payer",10000000,$C$2+1,C19,"3M",D19,"3M",$C$26,,,TRUE)</f>
        <v>test10YShiborRSwap</v>
      </c>
      <c r="K19" s="7" t="b">
        <f>_xll.CALInstrumentSetPricingEngine(J19,$K$6)</f>
        <v>1</v>
      </c>
      <c r="L19" s="7" t="e">
        <f>_xll.CALInstrumentNPV(J19)*10000</f>
        <v>#NUM!</v>
      </c>
    </row>
    <row r="22" spans="2:12" x14ac:dyDescent="0.3">
      <c r="B22" s="2" t="s">
        <v>21</v>
      </c>
      <c r="F22" s="2" t="s">
        <v>23</v>
      </c>
    </row>
    <row r="23" spans="2:12" x14ac:dyDescent="0.3">
      <c r="B23" s="43" t="s">
        <v>22</v>
      </c>
      <c r="C23" s="18" t="s">
        <v>37</v>
      </c>
      <c r="F23" s="39" t="s">
        <v>25</v>
      </c>
      <c r="G23" s="40" t="s">
        <v>26</v>
      </c>
      <c r="H23" s="41" t="s">
        <v>28</v>
      </c>
      <c r="I23" s="42"/>
    </row>
    <row r="24" spans="2:12" x14ac:dyDescent="0.3">
      <c r="B24" s="44" t="s">
        <v>24</v>
      </c>
      <c r="C24" s="20" t="s">
        <v>34</v>
      </c>
      <c r="F24" s="26">
        <v>41736</v>
      </c>
      <c r="G24" s="24">
        <f t="array" ref="G24">_xll.CALYieldTSDiscount($C$26,F24)</f>
        <v>0.98631811117702684</v>
      </c>
      <c r="H24" s="22">
        <f>_xll.CALYieldTSZeroRate($C$23,F24,$C$24)</f>
        <v>5.5105393776505099E-2</v>
      </c>
    </row>
    <row r="25" spans="2:12" x14ac:dyDescent="0.3">
      <c r="F25" s="26">
        <v>41827</v>
      </c>
      <c r="G25" s="24">
        <f>_xll.CALYieldTSDiscount($C$26,F25)</f>
        <v>0.97259788856753981</v>
      </c>
      <c r="H25" s="22">
        <f>_xll.CALYieldTSZeroRate($C$23,F25,$C$24)</f>
        <v>5.5262092237168672E-2</v>
      </c>
    </row>
    <row r="26" spans="2:12" x14ac:dyDescent="0.3">
      <c r="B26" s="11"/>
      <c r="C26" s="12" t="str">
        <f>_xll.CALPiecewiseYieldCurve($C$23,0,"NullCalendar",I6:I19,C24,,,0.000000000000001,"ForwardRate","BackwardFlat",,,TRUE)</f>
        <v>Shibor3MSwapCurve</v>
      </c>
      <c r="F26" s="26">
        <v>41919</v>
      </c>
      <c r="G26" s="24">
        <f>_xll.CALYieldTSDiscount($C$26,F26)</f>
        <v>0.9587532962282288</v>
      </c>
      <c r="H26" s="22">
        <f>_xll.CALYieldTSZeroRate($C$23,F26,$C$24)</f>
        <v>5.5544819682046158E-2</v>
      </c>
    </row>
    <row r="27" spans="2:12" x14ac:dyDescent="0.3">
      <c r="F27" s="26">
        <v>42011</v>
      </c>
      <c r="G27" s="24">
        <f>_xll.CALYieldTSDiscount($C$26,F27)</f>
        <v>0.94501223230716924</v>
      </c>
      <c r="H27" s="22">
        <f>_xll.CALYieldTSZeroRate($C$23,F27,$C$24)</f>
        <v>5.5782648327234681E-2</v>
      </c>
    </row>
    <row r="28" spans="2:12" x14ac:dyDescent="0.3">
      <c r="F28" s="26">
        <v>42101</v>
      </c>
      <c r="G28" s="24">
        <f>_xll.CALYieldTSDiscount($C$26,F28)</f>
        <v>0.93187534077205414</v>
      </c>
      <c r="H28" s="22">
        <f>_xll.CALYieldTSZeroRate($C$23,F28,$C$24)</f>
        <v>5.5824707693198944E-2</v>
      </c>
    </row>
    <row r="29" spans="2:12" x14ac:dyDescent="0.3">
      <c r="F29" s="26">
        <v>42192</v>
      </c>
      <c r="G29" s="24">
        <f>_xll.CALYieldTSDiscount($C$26,F29)</f>
        <v>0.91877944653572852</v>
      </c>
      <c r="H29" s="22">
        <f>_xll.CALYieldTSZeroRate($C$23,F29,$C$24)</f>
        <v>5.5852205484111281E-2</v>
      </c>
    </row>
    <row r="30" spans="2:12" x14ac:dyDescent="0.3">
      <c r="F30" s="26">
        <v>42284</v>
      </c>
      <c r="G30" s="24">
        <f>_xll.CALYieldTSDiscount($C$26,F30)</f>
        <v>0.90572671656599368</v>
      </c>
      <c r="H30" s="22">
        <f>_xll.CALYieldTSZeroRate($C$23,F30,$C$24)</f>
        <v>5.5872031477559023E-2</v>
      </c>
    </row>
    <row r="31" spans="2:12" x14ac:dyDescent="0.3">
      <c r="F31" s="26">
        <v>42376</v>
      </c>
      <c r="G31" s="24">
        <f>_xll.CALYieldTSDiscount($C$26,F31)</f>
        <v>0.89285942147979402</v>
      </c>
      <c r="H31" s="22">
        <f>_xll.CALYieldTSZeroRate($C$23,F31,$C$24)</f>
        <v>5.588686023430213E-2</v>
      </c>
    </row>
    <row r="32" spans="2:12" x14ac:dyDescent="0.3">
      <c r="F32" s="26">
        <v>42467</v>
      </c>
      <c r="G32" s="24">
        <f>_xll.CALYieldTSDiscount($C$26,F32)</f>
        <v>0.88028728420632107</v>
      </c>
      <c r="H32" s="22">
        <f>_xll.CALYieldTSZeroRate($C$23,F32,$C$24)</f>
        <v>5.5910484245892213E-2</v>
      </c>
    </row>
    <row r="33" spans="6:8" x14ac:dyDescent="0.3">
      <c r="F33" s="26">
        <v>42558</v>
      </c>
      <c r="G33" s="24">
        <f>_xll.CALYieldTSDiscount($C$26,F33)</f>
        <v>0.86789190328320387</v>
      </c>
      <c r="H33" s="22">
        <f>_xll.CALYieldTSZeroRate($C$23,F33,$C$24)</f>
        <v>5.5929516104595851E-2</v>
      </c>
    </row>
    <row r="34" spans="6:8" x14ac:dyDescent="0.3">
      <c r="F34" s="26">
        <v>42650</v>
      </c>
      <c r="G34" s="24">
        <f>_xll.CALYieldTSDiscount($C$26,F34)</f>
        <v>0.85553772791596738</v>
      </c>
      <c r="H34" s="22">
        <f>_xll.CALYieldTSZeroRate($C$23,F34,$C$24)</f>
        <v>5.5945250029901236E-2</v>
      </c>
    </row>
    <row r="35" spans="6:8" x14ac:dyDescent="0.3">
      <c r="F35" s="26">
        <v>42742</v>
      </c>
      <c r="G35" s="24">
        <f>_xll.CALYieldTSDiscount($C$26,F35)</f>
        <v>0.84335941045042007</v>
      </c>
      <c r="H35" s="22">
        <f>_xll.CALYieldTSZeroRate($C$23,F35,$C$24)</f>
        <v>5.5958342493294039E-2</v>
      </c>
    </row>
    <row r="36" spans="6:8" x14ac:dyDescent="0.3">
      <c r="F36" s="26">
        <v>42832</v>
      </c>
      <c r="G36" s="24">
        <f>_xll.CALYieldTSDiscount($C$26,F36)</f>
        <v>0.83159966375724403</v>
      </c>
      <c r="H36" s="22">
        <f>_xll.CALYieldTSZeroRate($C$23,F36,$C$24)</f>
        <v>5.59742713651303E-2</v>
      </c>
    </row>
    <row r="37" spans="6:8" x14ac:dyDescent="0.3">
      <c r="F37" s="26">
        <v>42923</v>
      </c>
      <c r="G37" s="24">
        <f>_xll.CALYieldTSDiscount($C$26,F37)</f>
        <v>0.81987564904599286</v>
      </c>
      <c r="H37" s="22">
        <f>_xll.CALYieldTSZeroRate($C$23,F37,$C$24)</f>
        <v>5.5988202961795921E-2</v>
      </c>
    </row>
    <row r="38" spans="6:8" x14ac:dyDescent="0.3">
      <c r="F38" s="26">
        <v>43015</v>
      </c>
      <c r="G38" s="24">
        <f>_xll.CALYieldTSDiscount($C$26,F38)</f>
        <v>0.80819081167853923</v>
      </c>
      <c r="H38" s="22">
        <f>_xll.CALYieldTSZeroRate($C$23,F38,$C$24)</f>
        <v>5.6000404892902908E-2</v>
      </c>
    </row>
    <row r="39" spans="6:8" x14ac:dyDescent="0.3">
      <c r="F39" s="26">
        <v>43107</v>
      </c>
      <c r="G39" s="24">
        <f>_xll.CALYieldTSDiscount($C$26,F39)</f>
        <v>0.79667250618023278</v>
      </c>
      <c r="H39" s="22">
        <f>_xll.CALYieldTSZeroRate($C$23,F39,$C$24)</f>
        <v>5.6011070098942337E-2</v>
      </c>
    </row>
    <row r="40" spans="6:8" x14ac:dyDescent="0.3">
      <c r="F40" s="26">
        <v>43197</v>
      </c>
      <c r="G40" s="24">
        <f>_xll.CALYieldTSDiscount($C$26,F40)</f>
        <v>0.78557221697911372</v>
      </c>
      <c r="H40" s="22">
        <f>_xll.CALYieldTSZeroRate($C$23,F40,$C$24)</f>
        <v>5.6017691586777947E-2</v>
      </c>
    </row>
    <row r="41" spans="6:8" x14ac:dyDescent="0.3">
      <c r="F41" s="26">
        <v>43288</v>
      </c>
      <c r="G41" s="24">
        <f>_xll.CALYieldTSDiscount($C$26,F41)</f>
        <v>0.77450593228764941</v>
      </c>
      <c r="H41" s="22">
        <f>_xll.CALYieldTSZeroRate($C$23,F41,$C$24)</f>
        <v>5.6023620872935338E-2</v>
      </c>
    </row>
    <row r="42" spans="6:8" x14ac:dyDescent="0.3">
      <c r="F42" s="26">
        <v>43380</v>
      </c>
      <c r="G42" s="24">
        <f>_xll.CALYieldTSDiscount($C$26,F42)</f>
        <v>0.7634765006406351</v>
      </c>
      <c r="H42" s="22">
        <f>_xll.CALYieldTSZeroRate($C$23,F42,$C$24)</f>
        <v>5.6028982684540124E-2</v>
      </c>
    </row>
    <row r="43" spans="6:8" x14ac:dyDescent="0.3">
      <c r="F43" s="26">
        <v>43472</v>
      </c>
      <c r="G43" s="24">
        <f>_xll.CALYieldTSDiscount($C$26,F43)</f>
        <v>0.75260413475307453</v>
      </c>
      <c r="H43" s="22">
        <f>_xll.CALYieldTSZeroRate($C$23,F43,$C$24)</f>
        <v>5.6033804204066485E-2</v>
      </c>
    </row>
    <row r="44" spans="6:8" x14ac:dyDescent="0.3">
      <c r="F44" s="26">
        <v>43562</v>
      </c>
      <c r="G44" s="24">
        <f>_xll.CALYieldTSDiscount($C$26,F44)</f>
        <v>0.74185480139581983</v>
      </c>
      <c r="H44" s="22">
        <f>_xll.CALYieldTSZeroRate($C$23,F44,$C$24)</f>
        <v>5.6104711142510873E-2</v>
      </c>
    </row>
    <row r="45" spans="6:8" x14ac:dyDescent="0.3">
      <c r="F45" s="26">
        <v>43653</v>
      </c>
      <c r="G45" s="24">
        <f>_xll.CALYieldTSDiscount($C$26,F45)</f>
        <v>0.73113917622175295</v>
      </c>
      <c r="H45" s="22">
        <f>_xll.CALYieldTSZeroRate($C$23,F45,$C$24)</f>
        <v>5.6170662924897509E-2</v>
      </c>
    </row>
    <row r="46" spans="6:8" x14ac:dyDescent="0.3">
      <c r="F46" s="26">
        <v>43745</v>
      </c>
      <c r="G46" s="24">
        <f>_xll.CALYieldTSDiscount($C$26,F46)</f>
        <v>0.72046312969566317</v>
      </c>
      <c r="H46" s="22">
        <f>_xll.CALYieldTSZeroRate($C$23,F46,$C$24)</f>
        <v>5.6231526300889519E-2</v>
      </c>
    </row>
    <row r="47" spans="6:8" x14ac:dyDescent="0.3">
      <c r="F47" s="26">
        <v>43837</v>
      </c>
      <c r="G47" s="24">
        <f>_xll.CALYieldTSDiscount($C$26,F47)</f>
        <v>0.7099429741040687</v>
      </c>
      <c r="H47" s="22">
        <f>_xll.CALYieldTSZeroRate($C$23,F47,$C$24)</f>
        <v>5.6287278375565922E-2</v>
      </c>
    </row>
    <row r="48" spans="6:8" x14ac:dyDescent="0.3">
      <c r="F48" s="26">
        <v>43928</v>
      </c>
      <c r="G48" s="24">
        <f>_xll.CALYieldTSDiscount($C$26,F48)</f>
        <v>0.69968829516804532</v>
      </c>
      <c r="H48" s="22">
        <f>_xll.CALYieldTSZeroRate($C$23,F48,$C$24)</f>
        <v>5.6338002130623753E-2</v>
      </c>
    </row>
    <row r="49" spans="6:8" x14ac:dyDescent="0.3">
      <c r="F49" s="26">
        <v>44019</v>
      </c>
      <c r="G49" s="24">
        <f>_xll.CALYieldTSDiscount($C$26,F49)</f>
        <v>0.68958173860792626</v>
      </c>
      <c r="H49" s="22">
        <f>_xll.CALYieldTSZeroRate($C$23,F49,$C$24)</f>
        <v>5.6384835568184528E-2</v>
      </c>
    </row>
    <row r="50" spans="6:8" x14ac:dyDescent="0.3">
      <c r="F50" s="26">
        <v>44111</v>
      </c>
      <c r="G50" s="24">
        <f>_xll.CALYieldTSDiscount($C$26,F50)</f>
        <v>0.67951251107321242</v>
      </c>
      <c r="H50" s="22">
        <f>_xll.CALYieldTSZeroRate($C$23,F50,$C$24)</f>
        <v>5.6428668567383274E-2</v>
      </c>
    </row>
    <row r="51" spans="6:8" x14ac:dyDescent="0.3">
      <c r="F51" s="26">
        <v>44203</v>
      </c>
      <c r="G51" s="24">
        <f>_xll.CALYieldTSDiscount($C$26,F51)</f>
        <v>0.66959031374169187</v>
      </c>
      <c r="H51" s="22">
        <f>_xll.CALYieldTSZeroRate($C$23,F51,$C$24)</f>
        <v>5.646934737344448E-2</v>
      </c>
    </row>
    <row r="52" spans="6:8" x14ac:dyDescent="0.3">
      <c r="F52" s="26">
        <v>44293</v>
      </c>
      <c r="G52" s="24">
        <f>_xll.CALYieldTSDiscount($C$26,F52)</f>
        <v>0.65968303215751767</v>
      </c>
      <c r="H52" s="22">
        <f>_xll.CALYieldTSZeroRate($C$23,F52,$C$24)</f>
        <v>5.6576687913070411E-2</v>
      </c>
    </row>
    <row r="53" spans="6:8" x14ac:dyDescent="0.3">
      <c r="F53" s="26">
        <v>44384</v>
      </c>
      <c r="G53" s="24">
        <f>_xll.CALYieldTSDiscount($C$26,F53)</f>
        <v>0.64981088714751012</v>
      </c>
      <c r="H53" s="22">
        <f>_xll.CALYieldTSZeroRate($C$23,F53,$C$24)</f>
        <v>5.6678818282990311E-2</v>
      </c>
    </row>
    <row r="54" spans="6:8" x14ac:dyDescent="0.3">
      <c r="F54" s="26">
        <v>44476</v>
      </c>
      <c r="G54" s="24">
        <f>_xll.CALYieldTSDiscount($C$26,F54)</f>
        <v>0.63998042937828792</v>
      </c>
      <c r="H54" s="22">
        <f>_xll.CALYieldTSZeroRate($C$23,F54,$C$24)</f>
        <v>5.6775394201152685E-2</v>
      </c>
    </row>
    <row r="55" spans="6:8" x14ac:dyDescent="0.3">
      <c r="F55" s="26">
        <v>44568</v>
      </c>
      <c r="G55" s="24">
        <f>_xll.CALYieldTSDiscount($C$26,F55)</f>
        <v>0.63029868856943638</v>
      </c>
      <c r="H55" s="22">
        <f>_xll.CALYieldTSZeroRate($C$23,F55,$C$24)</f>
        <v>5.6865888678883245E-2</v>
      </c>
    </row>
    <row r="56" spans="6:8" x14ac:dyDescent="0.3">
      <c r="F56" s="26">
        <v>44658</v>
      </c>
      <c r="G56" s="24">
        <f>_xll.CALYieldTSDiscount($C$26,F56)</f>
        <v>0.62096916163386084</v>
      </c>
      <c r="H56" s="22">
        <f>_xll.CALYieldTSZeroRate($C$23,F56,$C$24)</f>
        <v>5.6949066631846658E-2</v>
      </c>
    </row>
    <row r="57" spans="6:8" x14ac:dyDescent="0.3">
      <c r="F57" s="26">
        <v>44749</v>
      </c>
      <c r="G57" s="24">
        <f>_xll.CALYieldTSDiscount($C$26,F57)</f>
        <v>0.61167636901746925</v>
      </c>
      <c r="H57" s="22">
        <f>_xll.CALYieldTSZeroRate($C$23,F57,$C$24)</f>
        <v>5.7028263051257522E-2</v>
      </c>
    </row>
    <row r="58" spans="6:8" x14ac:dyDescent="0.3">
      <c r="F58" s="26">
        <v>44841</v>
      </c>
      <c r="G58" s="24">
        <f>_xll.CALYieldTSDiscount($C$26,F58)</f>
        <v>0.60242281720264335</v>
      </c>
      <c r="H58" s="22">
        <f>_xll.CALYieldTSZeroRate($C$23,F58,$C$24)</f>
        <v>5.7103743780434056E-2</v>
      </c>
    </row>
    <row r="59" spans="6:8" x14ac:dyDescent="0.3">
      <c r="F59" s="26">
        <v>44933</v>
      </c>
      <c r="G59" s="24">
        <f>_xll.CALYieldTSDiscount($C$26,F59)</f>
        <v>0.59330925480955554</v>
      </c>
      <c r="H59" s="22">
        <f>_xll.CALYieldTSZeroRate($C$23,F59,$C$24)</f>
        <v>5.7174999242142248E-2</v>
      </c>
    </row>
    <row r="60" spans="6:8" x14ac:dyDescent="0.3">
      <c r="F60" s="26">
        <v>45023</v>
      </c>
      <c r="G60" s="24">
        <f>_xll.CALYieldTSDiscount($C$26,F60)</f>
        <v>0.58452723642009119</v>
      </c>
      <c r="H60" s="22">
        <f>_xll.CALYieldTSZeroRate($C$23,F60,$C$24)</f>
        <v>5.7240948914523804E-2</v>
      </c>
    </row>
    <row r="61" spans="6:8" x14ac:dyDescent="0.3">
      <c r="F61" s="26">
        <v>45114</v>
      </c>
      <c r="G61" s="24">
        <f>_xll.CALYieldTSDiscount($C$26,F61)</f>
        <v>0.57577979657558698</v>
      </c>
      <c r="H61" s="22">
        <f>_xll.CALYieldTSZeroRate($C$23,F61,$C$24)</f>
        <v>5.7304151106481217E-2</v>
      </c>
    </row>
    <row r="62" spans="6:8" x14ac:dyDescent="0.3">
      <c r="F62" s="26">
        <v>45206</v>
      </c>
      <c r="G62" s="24">
        <f>_xll.CALYieldTSDiscount($C$26,F62)</f>
        <v>0.56706929466409339</v>
      </c>
      <c r="H62" s="22">
        <f>_xll.CALYieldTSZeroRate($C$23,F62,$C$24)</f>
        <v>5.7364763249357201E-2</v>
      </c>
    </row>
    <row r="63" spans="6:8" x14ac:dyDescent="0.3">
      <c r="F63" s="27">
        <v>45298</v>
      </c>
      <c r="G63" s="25">
        <f>_xll.CALYieldTSDiscount($C$26,F63)</f>
        <v>0.55849056681622866</v>
      </c>
      <c r="H63" s="23">
        <f>_xll.CALYieldTSZeroRate($C$23,F63,$C$24)</f>
        <v>5.742232154932813E-2</v>
      </c>
    </row>
  </sheetData>
  <mergeCells count="1">
    <mergeCell ref="J4:L4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62"/>
  <sheetViews>
    <sheetView showGridLines="0" tabSelected="1" topLeftCell="E22" workbookViewId="0">
      <selection activeCell="M34" sqref="M34"/>
    </sheetView>
  </sheetViews>
  <sheetFormatPr defaultRowHeight="16.5" x14ac:dyDescent="0.3"/>
  <cols>
    <col min="1" max="1" width="9.140625" style="2"/>
    <col min="2" max="2" width="19" style="2" bestFit="1" customWidth="1"/>
    <col min="3" max="3" width="26.7109375" style="2" bestFit="1" customWidth="1"/>
    <col min="4" max="4" width="12.140625" style="2" customWidth="1"/>
    <col min="5" max="5" width="9.140625" style="2"/>
    <col min="6" max="6" width="12.7109375" style="2" bestFit="1" customWidth="1"/>
    <col min="7" max="7" width="17.42578125" style="2" bestFit="1" customWidth="1"/>
    <col min="8" max="8" width="15.7109375" style="2" customWidth="1"/>
    <col min="9" max="9" width="25.42578125" style="2" bestFit="1" customWidth="1"/>
    <col min="10" max="10" width="22.85546875" style="2" bestFit="1" customWidth="1"/>
    <col min="11" max="11" width="27" style="2" bestFit="1" customWidth="1"/>
    <col min="12" max="12" width="14.85546875" style="2" bestFit="1" customWidth="1"/>
    <col min="13" max="13" width="64.28515625" style="2" bestFit="1" customWidth="1"/>
    <col min="14" max="16384" width="9.140625" style="2"/>
  </cols>
  <sheetData>
    <row r="1" spans="2:12" x14ac:dyDescent="0.3">
      <c r="B1" s="1" t="s">
        <v>0</v>
      </c>
    </row>
    <row r="2" spans="2:12" x14ac:dyDescent="0.3">
      <c r="B2" s="17" t="s">
        <v>17</v>
      </c>
      <c r="C2" s="16">
        <v>41646</v>
      </c>
      <c r="D2" s="12" t="b">
        <f>_xll.CALSettingsSetEvaluationDate(C2)</f>
        <v>1</v>
      </c>
    </row>
    <row r="4" spans="2:12" x14ac:dyDescent="0.3">
      <c r="I4" s="46" t="s">
        <v>54</v>
      </c>
      <c r="J4" s="50" t="s">
        <v>53</v>
      </c>
      <c r="K4" s="51"/>
      <c r="L4" s="52"/>
    </row>
    <row r="5" spans="2:12" x14ac:dyDescent="0.3">
      <c r="B5" s="15" t="s">
        <v>14</v>
      </c>
      <c r="C5" s="13" t="s">
        <v>15</v>
      </c>
      <c r="D5" s="14" t="s">
        <v>38</v>
      </c>
      <c r="F5" s="43" t="s">
        <v>19</v>
      </c>
      <c r="G5" s="18" t="s">
        <v>33</v>
      </c>
      <c r="I5" s="39" t="s">
        <v>47</v>
      </c>
      <c r="J5" s="39" t="s">
        <v>49</v>
      </c>
      <c r="K5" s="39" t="s">
        <v>50</v>
      </c>
      <c r="L5" s="39" t="s">
        <v>55</v>
      </c>
    </row>
    <row r="6" spans="2:12" x14ac:dyDescent="0.3">
      <c r="B6" s="8" t="s">
        <v>42</v>
      </c>
      <c r="C6" s="3" t="s">
        <v>27</v>
      </c>
      <c r="D6" s="21">
        <v>2.9000000000000001E-2</v>
      </c>
      <c r="F6" s="45" t="s">
        <v>15</v>
      </c>
      <c r="G6" s="19" t="s">
        <v>48</v>
      </c>
      <c r="I6" s="6" t="str">
        <f>_xll.CALDepositRateHelper2(C6&amp;"Repo",D6,C6,0,"China","Following",FALSE,"Actual/365 (Fixed)",,,TRUE)</f>
        <v>1DRepo</v>
      </c>
      <c r="J6" s="6"/>
      <c r="K6" s="6" t="str">
        <f>_xll.CALDiscountingSwapEngine("DiscountSwapEngine",C26,FALSE)</f>
        <v>DiscountSwapEngine</v>
      </c>
      <c r="L6" s="6"/>
    </row>
    <row r="7" spans="2:12" x14ac:dyDescent="0.3">
      <c r="B7" s="9"/>
      <c r="C7" s="4" t="s">
        <v>29</v>
      </c>
      <c r="D7" s="22">
        <v>4.2729999999999997E-2</v>
      </c>
      <c r="F7" s="44" t="s">
        <v>19</v>
      </c>
      <c r="G7" s="20" t="str">
        <f>_xll.CALRepoChinaIndex(G5,G6,,,,TRUE)</f>
        <v>RepoChina</v>
      </c>
      <c r="I7" s="6" t="str">
        <f>_xll.CALDepositRateHelper2(C7&amp;"Repo",D7,C7,1,"China","Following",FALSE,"Actual/365 (Fixed)",,,TRUE)</f>
        <v>7DRepo</v>
      </c>
      <c r="J7" s="6"/>
      <c r="K7" s="6" t="str">
        <f>_xll.CALRepoChinaIndex("RepoChinaForPricing",G6,C26)</f>
        <v>RepoChinaForPricing</v>
      </c>
      <c r="L7" s="6"/>
    </row>
    <row r="8" spans="2:12" x14ac:dyDescent="0.3">
      <c r="B8" s="9"/>
      <c r="C8" s="4" t="s">
        <v>46</v>
      </c>
      <c r="D8" s="22">
        <v>5.1999999999999998E-2</v>
      </c>
      <c r="I8" s="6" t="str">
        <f>_xll.CALDepositRateHelper2(C8&amp;"Repo",D8,C8,1,"China","Following",FALSE,"Actual/365 (Fixed)",,,TRUE)</f>
        <v>14DRepo</v>
      </c>
      <c r="J8" s="6"/>
      <c r="K8" s="6"/>
      <c r="L8" s="6"/>
    </row>
    <row r="9" spans="2:12" x14ac:dyDescent="0.3">
      <c r="B9" s="8" t="s">
        <v>32</v>
      </c>
      <c r="C9" s="28" t="s">
        <v>30</v>
      </c>
      <c r="D9" s="21">
        <v>5.2142000000000001E-2</v>
      </c>
      <c r="I9" s="29" t="str">
        <f>_xll.CALIBFRSwapRateHelper(C9&amp;"RepoChinaSwap",D9,C9,"Monthly",$G$5,0,"0D",,,,TRUE)</f>
        <v>1MRepoChinaSwap</v>
      </c>
      <c r="J9" s="29" t="str">
        <f>_xll.CALIBFRSwap("test"&amp;C9&amp;"IBFRSwap","Payer",10000000,$C$2+1,C9,"1M",D9,0,$K$7,,,TRUE)</f>
        <v>test1MIBFRSwap</v>
      </c>
      <c r="K9" s="29" t="b">
        <f>_xll.CALInstrumentSetPricingEngine(J9,$K$6)</f>
        <v>1</v>
      </c>
      <c r="L9" s="29">
        <f>_xll.CALInstrumentNPV(J9,K9)*10000</f>
        <v>1.4842953532934189E-5</v>
      </c>
    </row>
    <row r="10" spans="2:12" x14ac:dyDescent="0.3">
      <c r="B10" s="9"/>
      <c r="C10" s="4" t="s">
        <v>31</v>
      </c>
      <c r="D10" s="22">
        <v>5.1299999999999998E-2</v>
      </c>
      <c r="I10" s="6" t="str">
        <f>_xll.CALIBFRSwapRateHelper(C10&amp;"RepoChinaSwap",D10,C10,"Quarterly",$G$5,0,"0D",,,,TRUE)</f>
        <v>3MRepoChinaSwap</v>
      </c>
      <c r="J10" s="6" t="str">
        <f>_xll.CALIBFRSwap("test"&amp;C10&amp;"IBFRSwap","Payer",10000000,$C$2+1,C10,"3M",D10,0,$K$7,,,TRUE)</f>
        <v>test3MIBFRSwap</v>
      </c>
      <c r="K10" s="6" t="b">
        <f>_xll.CALInstrumentSetPricingEngine(J10,$K$6)</f>
        <v>1</v>
      </c>
      <c r="L10" s="6">
        <f>_xll.CALInstrumentNPV(J10,K10)*10000</f>
        <v>1.3533281162381172E-5</v>
      </c>
    </row>
    <row r="11" spans="2:12" x14ac:dyDescent="0.3">
      <c r="B11" s="9"/>
      <c r="C11" s="4" t="s">
        <v>5</v>
      </c>
      <c r="D11" s="22">
        <v>5.1149E-2</v>
      </c>
      <c r="I11" s="6" t="str">
        <f>_xll.CALIBFRSwapRateHelper(C11&amp;"RepoChinaSwap",D11,C11,"Quarterly",$G$5,0,"0D",,,,TRUE)</f>
        <v>6MRepoChinaSwap</v>
      </c>
      <c r="J11" s="6" t="str">
        <f>_xll.CALIBFRSwap("test"&amp;C11&amp;"IBFRSwap","Payer",10000000,$C$2+1,C11,"3M",D11,0,$K$7,,,TRUE)</f>
        <v>test6MIBFRSwap</v>
      </c>
      <c r="K11" s="6" t="b">
        <f>_xll.CALInstrumentSetPricingEngine(J11,$K$6)</f>
        <v>1</v>
      </c>
      <c r="L11" s="6">
        <f>_xll.CALInstrumentNPV(J11,K11)*10000</f>
        <v>-3.2014213502407074E-6</v>
      </c>
    </row>
    <row r="12" spans="2:12" x14ac:dyDescent="0.3">
      <c r="B12" s="9"/>
      <c r="C12" s="4" t="s">
        <v>6</v>
      </c>
      <c r="D12" s="22">
        <v>5.0932999999999999E-2</v>
      </c>
      <c r="I12" s="6" t="str">
        <f>_xll.CALIBFRSwapRateHelper(C12&amp;"RepoChinaSwap",D12,C12,"Quarterly",$G$5,0,"0D",,,,TRUE)</f>
        <v>9MRepoChinaSwap</v>
      </c>
      <c r="J12" s="6" t="str">
        <f>_xll.CALIBFRSwap("test"&amp;C12&amp;"IBFRSwap","Payer",10000000,$C$2+1,C12,"3M",D12,0,$K$7,,,TRUE)</f>
        <v>test9MIBFRSwap</v>
      </c>
      <c r="K12" s="6" t="b">
        <f>_xll.CALInstrumentSetPricingEngine(J12,$K$6)</f>
        <v>1</v>
      </c>
      <c r="L12" s="6">
        <f>_xll.CALInstrumentNPV(J12,K12)*10000</f>
        <v>-6.9849193096160889E-6</v>
      </c>
    </row>
    <row r="13" spans="2:12" x14ac:dyDescent="0.3">
      <c r="B13" s="9"/>
      <c r="C13" s="4" t="s">
        <v>7</v>
      </c>
      <c r="D13" s="22">
        <v>5.0775000000000001E-2</v>
      </c>
      <c r="I13" s="6" t="str">
        <f>_xll.CALIBFRSwapRateHelper(C13&amp;"RepoChinaSwap",D13,C13,"Quarterly",$G$5,0,"0D",,,,TRUE)</f>
        <v>1YRepoChinaSwap</v>
      </c>
      <c r="J13" s="6" t="str">
        <f>_xll.CALIBFRSwap("test"&amp;C13&amp;"IBFRSwap","Payer",10000000,$C$2+1,C13,"3M",D13,0,$K$7,,,TRUE)</f>
        <v>test1YIBFRSwap</v>
      </c>
      <c r="K13" s="6" t="b">
        <f>_xll.CALInstrumentSetPricingEngine(J13,$K$6)</f>
        <v>1</v>
      </c>
      <c r="L13" s="6">
        <f>_xll.CALInstrumentNPV(J13,K13)*10000</f>
        <v>-9.3132257461547852E-6</v>
      </c>
    </row>
    <row r="14" spans="2:12" x14ac:dyDescent="0.3">
      <c r="B14" s="9"/>
      <c r="C14" s="4" t="s">
        <v>8</v>
      </c>
      <c r="D14" s="22">
        <v>5.0748000000000001E-2</v>
      </c>
      <c r="I14" s="6" t="str">
        <f>_xll.CALIBFRSwapRateHelper(C14&amp;"RepoChinaSwap",D14,C14,"Quarterly",$G$5,0,"0D",,,,TRUE)</f>
        <v>2YRepoChinaSwap</v>
      </c>
      <c r="J14" s="6" t="str">
        <f>_xll.CALIBFRSwap("test"&amp;C14&amp;"IBFRSwap","Payer",10000000,$C$2+1,C14,"3M",D14,0,$K$7,,,TRUE)</f>
        <v>test2YIBFRSwap</v>
      </c>
      <c r="K14" s="6" t="b">
        <f>_xll.CALInstrumentSetPricingEngine(J14,$K$6)</f>
        <v>1</v>
      </c>
      <c r="L14" s="6">
        <f>_xll.CALInstrumentNPV(J14,K14)*10000</f>
        <v>-4.6566128730773926E-5</v>
      </c>
    </row>
    <row r="15" spans="2:12" x14ac:dyDescent="0.3">
      <c r="B15" s="9"/>
      <c r="C15" s="4" t="s">
        <v>9</v>
      </c>
      <c r="D15" s="22">
        <v>5.1168999999999999E-2</v>
      </c>
      <c r="I15" s="6" t="str">
        <f>_xll.CALIBFRSwapRateHelper(C15&amp;"RepoChinaSwap",D15,C15,"Quarterly",$G$5,0,"0D",,,,TRUE)</f>
        <v>3YRepoChinaSwap</v>
      </c>
      <c r="J15" s="6" t="str">
        <f>_xll.CALIBFRSwap("test"&amp;C15&amp;"IBFRSwap","Payer",10000000,$C$2+1,C15,"3M",D15,0,$K$7,,,TRUE)</f>
        <v>test3YIBFRSwap</v>
      </c>
      <c r="K15" s="6" t="b">
        <f>_xll.CALInstrumentSetPricingEngine(J15,$K$6)</f>
        <v>1</v>
      </c>
      <c r="L15" s="6">
        <f>_xll.CALInstrumentNPV(J15,K15)*10000</f>
        <v>-2.3283064365386963E-6</v>
      </c>
    </row>
    <row r="16" spans="2:12" x14ac:dyDescent="0.3">
      <c r="B16" s="9"/>
      <c r="C16" s="4" t="s">
        <v>10</v>
      </c>
      <c r="D16" s="22">
        <v>5.1415000000000002E-2</v>
      </c>
      <c r="I16" s="6" t="str">
        <f>_xll.CALIBFRSwapRateHelper(C16&amp;"RepoChinaSwap",D16,C16,"Quarterly",$G$5,0,"0D",,,,TRUE)</f>
        <v>4YRepoChinaSwap</v>
      </c>
      <c r="J16" s="6" t="str">
        <f>_xll.CALIBFRSwap("test"&amp;C16&amp;"IBFRSwap","Payer",10000000,$C$2+1,C16,"3M",D16,0,$K$7,,,TRUE)</f>
        <v>test4YIBFRSwap</v>
      </c>
      <c r="K16" s="6" t="b">
        <f>_xll.CALInstrumentSetPricingEngine(J16,$K$6)</f>
        <v>1</v>
      </c>
      <c r="L16" s="6">
        <f>_xll.CALInstrumentNPV(J16,K16)*10000</f>
        <v>-4.1909515857696533E-5</v>
      </c>
    </row>
    <row r="17" spans="2:12" x14ac:dyDescent="0.3">
      <c r="B17" s="9"/>
      <c r="C17" s="4" t="s">
        <v>11</v>
      </c>
      <c r="D17" s="22">
        <v>5.1632999999999998E-2</v>
      </c>
      <c r="I17" s="6" t="str">
        <f>_xll.CALIBFRSwapRateHelper(C17&amp;"RepoChinaSwap",D17,C17,"Quarterly",$G$5,0,"0D",,,,TRUE)</f>
        <v>5YRepoChinaSwap</v>
      </c>
      <c r="J17" s="6" t="str">
        <f>_xll.CALIBFRSwap("test"&amp;C17&amp;"IBFRSwap","Payer",10000000,$C$2+1,C17,"3M",D17,0,$K$7,,,TRUE)</f>
        <v>test5YIBFRSwap</v>
      </c>
      <c r="K17" s="6" t="b">
        <f>_xll.CALInstrumentSetPricingEngine(J17,$K$6)</f>
        <v>1</v>
      </c>
      <c r="L17" s="6">
        <f>_xll.CALInstrumentNPV(J17,K17)*10000</f>
        <v>-6.0535967350006104E-5</v>
      </c>
    </row>
    <row r="18" spans="2:12" x14ac:dyDescent="0.3">
      <c r="B18" s="9"/>
      <c r="C18" s="4" t="s">
        <v>12</v>
      </c>
      <c r="D18" s="22">
        <v>5.2331999999999997E-2</v>
      </c>
      <c r="I18" s="6" t="str">
        <f>_xll.CALIBFRSwapRateHelper(C18&amp;"RepoChinaSwap",D18,C18,"Quarterly",$G$5,0,"0D",,,,TRUE)</f>
        <v>7YRepoChinaSwap</v>
      </c>
      <c r="J18" s="6" t="str">
        <f>_xll.CALIBFRSwap("test"&amp;C18&amp;"IBFRSwap","Payer",10000000,$C$2+1,C18,"3M",D18,0,$K$7,,,TRUE)</f>
        <v>test7YIBFRSwap</v>
      </c>
      <c r="K18" s="6" t="b">
        <f>_xll.CALInstrumentSetPricingEngine(J18,$K$6)</f>
        <v>1</v>
      </c>
      <c r="L18" s="6">
        <f>_xll.CALInstrumentNPV(J18,K18)*10000</f>
        <v>2.0023435354232788E-4</v>
      </c>
    </row>
    <row r="19" spans="2:12" x14ac:dyDescent="0.3">
      <c r="B19" s="10"/>
      <c r="C19" s="5" t="s">
        <v>13</v>
      </c>
      <c r="D19" s="23">
        <v>5.3089999999999998E-2</v>
      </c>
      <c r="I19" s="7" t="str">
        <f>_xll.CALIBFRSwapRateHelper(C19&amp;"RepoChinaSwap",D19,C19,"Quarterly",$G$5,0,"0D",,,,TRUE)</f>
        <v>10YRepoChinaSwap</v>
      </c>
      <c r="J19" s="7" t="str">
        <f>_xll.CALIBFRSwap("test"&amp;C19&amp;"IBFRSwap","Payer",10000000,$C$2+1,C19,"3M",D19,0,$K$7,,,TRUE)</f>
        <v>test10YIBFRSwap</v>
      </c>
      <c r="K19" s="7" t="b">
        <f>_xll.CALInstrumentSetPricingEngine(J19,$K$6)</f>
        <v>1</v>
      </c>
      <c r="L19" s="7">
        <f>_xll.CALInstrumentNPV(J19,K19)*10000</f>
        <v>-1.6298145055770874E-4</v>
      </c>
    </row>
    <row r="21" spans="2:12" x14ac:dyDescent="0.3">
      <c r="F21" s="2" t="s">
        <v>23</v>
      </c>
    </row>
    <row r="22" spans="2:12" x14ac:dyDescent="0.3">
      <c r="B22" s="2" t="s">
        <v>21</v>
      </c>
      <c r="F22" s="39" t="s">
        <v>25</v>
      </c>
      <c r="G22" s="40" t="s">
        <v>26</v>
      </c>
      <c r="H22" s="41" t="s">
        <v>28</v>
      </c>
    </row>
    <row r="23" spans="2:12" x14ac:dyDescent="0.3">
      <c r="B23" s="43" t="s">
        <v>22</v>
      </c>
      <c r="C23" s="18" t="s">
        <v>39</v>
      </c>
      <c r="F23" s="26">
        <v>41736</v>
      </c>
      <c r="G23" s="24">
        <f t="array" ref="G23:G62">_xll.CALYieldTSDiscount($C$26,F23:F62)</f>
        <v>0.98773724646733407</v>
      </c>
      <c r="H23" s="22">
        <f t="array" ref="H23:H62">_xll.CALYieldTSZeroRate($C$23,F23:F62,$C$24)</f>
        <v>4.9354245899987138E-2</v>
      </c>
    </row>
    <row r="24" spans="2:12" x14ac:dyDescent="0.3">
      <c r="B24" s="44" t="s">
        <v>24</v>
      </c>
      <c r="C24" s="20" t="s">
        <v>40</v>
      </c>
      <c r="F24" s="26">
        <v>41827</v>
      </c>
      <c r="G24" s="24">
        <v>0.97550526296126194</v>
      </c>
      <c r="H24" s="22">
        <v>4.9325417485414566E-2</v>
      </c>
    </row>
    <row r="25" spans="2:12" x14ac:dyDescent="0.3">
      <c r="F25" s="26">
        <v>41919</v>
      </c>
      <c r="G25" s="24">
        <v>0.96340891778055859</v>
      </c>
      <c r="H25" s="22">
        <v>4.9156916383910877E-2</v>
      </c>
    </row>
    <row r="26" spans="2:12" x14ac:dyDescent="0.3">
      <c r="B26" s="11"/>
      <c r="C26" s="12" t="str">
        <f>_xll.CALPiecewiseYieldCurve($C$23,0,"NullCalendar",I6:I19,C24,,,0.000000000000001,"ForwardRate","BackwardFlat",,,TRUE)</f>
        <v>Repo7DSwapCurve</v>
      </c>
      <c r="F26" s="26">
        <v>42011</v>
      </c>
      <c r="G26" s="24">
        <v>0.95151609564360684</v>
      </c>
      <c r="H26" s="22">
        <v>4.9017872530704519E-2</v>
      </c>
    </row>
    <row r="27" spans="2:12" x14ac:dyDescent="0.3">
      <c r="F27" s="26">
        <v>42101</v>
      </c>
      <c r="G27" s="24">
        <v>0.93993190384424163</v>
      </c>
      <c r="H27" s="22">
        <v>4.9013682773601616E-2</v>
      </c>
    </row>
    <row r="28" spans="2:12" x14ac:dyDescent="0.3">
      <c r="F28" s="26">
        <v>42192</v>
      </c>
      <c r="G28" s="24">
        <v>0.92835458942738935</v>
      </c>
      <c r="H28" s="22">
        <v>4.9016385825325214E-2</v>
      </c>
    </row>
    <row r="29" spans="2:12" x14ac:dyDescent="0.3">
      <c r="F29" s="26">
        <v>42284</v>
      </c>
      <c r="G29" s="24">
        <v>0.91679500428751182</v>
      </c>
      <c r="H29" s="22">
        <v>4.9018334734091458E-2</v>
      </c>
    </row>
    <row r="30" spans="2:12" x14ac:dyDescent="0.3">
      <c r="F30" s="26">
        <v>42376</v>
      </c>
      <c r="G30" s="24">
        <v>0.90537935553802618</v>
      </c>
      <c r="H30" s="22">
        <v>4.9019792411059193E-2</v>
      </c>
    </row>
    <row r="31" spans="2:12" x14ac:dyDescent="0.3">
      <c r="F31" s="26">
        <v>42467</v>
      </c>
      <c r="G31" s="24">
        <v>0.89395229887486372</v>
      </c>
      <c r="H31" s="22">
        <v>4.9155944446215044E-2</v>
      </c>
    </row>
    <row r="32" spans="2:12" x14ac:dyDescent="0.3">
      <c r="F32" s="26">
        <v>42558</v>
      </c>
      <c r="G32" s="24">
        <v>0.88264681542730516</v>
      </c>
      <c r="H32" s="22">
        <v>4.9275055626733705E-2</v>
      </c>
    </row>
    <row r="33" spans="6:8" x14ac:dyDescent="0.3">
      <c r="F33" s="26">
        <v>42650</v>
      </c>
      <c r="G33" s="24">
        <v>0.87136243078779918</v>
      </c>
      <c r="H33" s="22">
        <v>4.9373526640337978E-2</v>
      </c>
    </row>
    <row r="34" spans="6:8" x14ac:dyDescent="0.3">
      <c r="F34" s="26">
        <v>42742</v>
      </c>
      <c r="G34" s="24">
        <v>0.86022231374714087</v>
      </c>
      <c r="H34" s="22">
        <v>4.9455466023921035E-2</v>
      </c>
    </row>
    <row r="35" spans="6:8" x14ac:dyDescent="0.3">
      <c r="F35" s="26">
        <v>42832</v>
      </c>
      <c r="G35" s="24">
        <v>0.84943297630700076</v>
      </c>
      <c r="H35" s="22">
        <v>4.9533765570684139E-2</v>
      </c>
    </row>
    <row r="36" spans="6:8" x14ac:dyDescent="0.3">
      <c r="F36" s="26">
        <v>42923</v>
      </c>
      <c r="G36" s="24">
        <v>0.83866067696125046</v>
      </c>
      <c r="H36" s="22">
        <v>4.9601936605846067E-2</v>
      </c>
    </row>
    <row r="37" spans="6:8" x14ac:dyDescent="0.3">
      <c r="F37" s="26">
        <v>43015</v>
      </c>
      <c r="G37" s="24">
        <v>0.82790886595842283</v>
      </c>
      <c r="H37" s="22">
        <v>4.9661643924002297E-2</v>
      </c>
    </row>
    <row r="38" spans="6:8" x14ac:dyDescent="0.3">
      <c r="F38" s="26">
        <v>43107</v>
      </c>
      <c r="G38" s="24">
        <v>0.81729489549470269</v>
      </c>
      <c r="H38" s="22">
        <v>4.9713831634669969E-2</v>
      </c>
    </row>
    <row r="39" spans="6:8" x14ac:dyDescent="0.3">
      <c r="F39" s="26">
        <v>43197</v>
      </c>
      <c r="G39" s="24">
        <v>0.80697036797762156</v>
      </c>
      <c r="H39" s="22">
        <v>4.9779883201240466E-2</v>
      </c>
    </row>
    <row r="40" spans="6:8" x14ac:dyDescent="0.3">
      <c r="F40" s="26">
        <v>43288</v>
      </c>
      <c r="G40" s="24">
        <v>0.79666206880828738</v>
      </c>
      <c r="H40" s="22">
        <v>4.9839762411821135E-2</v>
      </c>
    </row>
    <row r="41" spans="6:8" x14ac:dyDescent="0.3">
      <c r="F41" s="26">
        <v>43380</v>
      </c>
      <c r="G41" s="24">
        <v>0.78637434280213026</v>
      </c>
      <c r="H41" s="22">
        <v>4.9893910759135893E-2</v>
      </c>
    </row>
    <row r="42" spans="6:8" x14ac:dyDescent="0.3">
      <c r="F42" s="26">
        <v>43472</v>
      </c>
      <c r="G42" s="24">
        <v>0.77621946773807471</v>
      </c>
      <c r="H42" s="22">
        <v>4.9942602756009292E-2</v>
      </c>
    </row>
    <row r="43" spans="6:8" x14ac:dyDescent="0.3">
      <c r="F43" s="26">
        <v>43562</v>
      </c>
      <c r="G43" s="24">
        <v>0.76610505132313556</v>
      </c>
      <c r="H43" s="22">
        <v>5.0061039317896794E-2</v>
      </c>
    </row>
    <row r="44" spans="6:8" x14ac:dyDescent="0.3">
      <c r="F44" s="26">
        <v>43653</v>
      </c>
      <c r="G44" s="24">
        <v>0.75598639947448321</v>
      </c>
      <c r="H44" s="22">
        <v>5.017612431884224E-2</v>
      </c>
    </row>
    <row r="45" spans="6:8" x14ac:dyDescent="0.3">
      <c r="F45" s="26">
        <v>43745</v>
      </c>
      <c r="G45" s="24">
        <v>0.74589240439835935</v>
      </c>
      <c r="H45" s="22">
        <v>5.0282330116928516E-2</v>
      </c>
    </row>
    <row r="46" spans="6:8" x14ac:dyDescent="0.3">
      <c r="F46" s="26">
        <v>43837</v>
      </c>
      <c r="G46" s="24">
        <v>0.73593318520797579</v>
      </c>
      <c r="H46" s="22">
        <v>5.0379616760816766E-2</v>
      </c>
    </row>
    <row r="47" spans="6:8" x14ac:dyDescent="0.3">
      <c r="F47" s="26">
        <v>43928</v>
      </c>
      <c r="G47" s="24">
        <v>0.72621304085945826</v>
      </c>
      <c r="H47" s="22">
        <v>5.0468129052487161E-2</v>
      </c>
    </row>
    <row r="48" spans="6:8" x14ac:dyDescent="0.3">
      <c r="F48" s="26">
        <v>44019</v>
      </c>
      <c r="G48" s="24">
        <v>0.71662127936967723</v>
      </c>
      <c r="H48" s="22">
        <v>5.054985279081408E-2</v>
      </c>
    </row>
    <row r="49" spans="6:8" x14ac:dyDescent="0.3">
      <c r="F49" s="26">
        <v>44111</v>
      </c>
      <c r="G49" s="24">
        <v>0.70705289074465505</v>
      </c>
      <c r="H49" s="22">
        <v>5.0626340803293444E-2</v>
      </c>
    </row>
    <row r="50" spans="6:8" x14ac:dyDescent="0.3">
      <c r="F50" s="26">
        <v>44203</v>
      </c>
      <c r="G50" s="24">
        <v>0.69761226006307553</v>
      </c>
      <c r="H50" s="22">
        <v>5.0697324789845469E-2</v>
      </c>
    </row>
    <row r="51" spans="6:8" x14ac:dyDescent="0.3">
      <c r="F51" s="26">
        <v>44293</v>
      </c>
      <c r="G51" s="24">
        <v>0.68835075426533765</v>
      </c>
      <c r="H51" s="22">
        <v>5.0791247199666094E-2</v>
      </c>
    </row>
    <row r="52" spans="6:8" x14ac:dyDescent="0.3">
      <c r="F52" s="26">
        <v>44384</v>
      </c>
      <c r="G52" s="24">
        <v>0.67909889206150398</v>
      </c>
      <c r="H52" s="22">
        <v>5.0882347189177092E-2</v>
      </c>
    </row>
    <row r="53" spans="6:8" x14ac:dyDescent="0.3">
      <c r="F53" s="26">
        <v>44476</v>
      </c>
      <c r="G53" s="24">
        <v>0.66987176282585226</v>
      </c>
      <c r="H53" s="22">
        <v>5.0968492624061126E-2</v>
      </c>
    </row>
    <row r="54" spans="6:8" x14ac:dyDescent="0.3">
      <c r="F54" s="26">
        <v>44568</v>
      </c>
      <c r="G54" s="24">
        <v>0.66077000548364162</v>
      </c>
      <c r="H54" s="22">
        <v>5.1049213431970906E-2</v>
      </c>
    </row>
    <row r="55" spans="6:8" x14ac:dyDescent="0.3">
      <c r="F55" s="26">
        <v>44658</v>
      </c>
      <c r="G55" s="24">
        <v>0.6519857892370875</v>
      </c>
      <c r="H55" s="22">
        <v>5.1123407921312931E-2</v>
      </c>
    </row>
    <row r="56" spans="6:8" x14ac:dyDescent="0.3">
      <c r="F56" s="26">
        <v>44749</v>
      </c>
      <c r="G56" s="24">
        <v>0.64322269477761063</v>
      </c>
      <c r="H56" s="22">
        <v>5.1194050894439361E-2</v>
      </c>
    </row>
    <row r="57" spans="6:8" x14ac:dyDescent="0.3">
      <c r="F57" s="26">
        <v>44841</v>
      </c>
      <c r="G57" s="24">
        <v>0.63448302666535639</v>
      </c>
      <c r="H57" s="22">
        <v>5.1261379482807928E-2</v>
      </c>
    </row>
    <row r="58" spans="6:8" x14ac:dyDescent="0.3">
      <c r="F58" s="26">
        <v>44933</v>
      </c>
      <c r="G58" s="24">
        <v>0.62586210715966173</v>
      </c>
      <c r="H58" s="22">
        <v>5.1324939145025054E-2</v>
      </c>
    </row>
    <row r="59" spans="6:8" x14ac:dyDescent="0.3">
      <c r="F59" s="26">
        <v>45023</v>
      </c>
      <c r="G59" s="24">
        <v>0.61754195333277839</v>
      </c>
      <c r="H59" s="22">
        <v>5.1383766058771929E-2</v>
      </c>
    </row>
    <row r="60" spans="6:8" x14ac:dyDescent="0.3">
      <c r="F60" s="26">
        <v>45114</v>
      </c>
      <c r="G60" s="24">
        <v>0.60924180544753492</v>
      </c>
      <c r="H60" s="22">
        <v>5.1440142228063319E-2</v>
      </c>
    </row>
    <row r="61" spans="6:8" x14ac:dyDescent="0.3">
      <c r="F61" s="26">
        <v>45206</v>
      </c>
      <c r="G61" s="24">
        <v>0.60096384631619093</v>
      </c>
      <c r="H61" s="22">
        <v>5.1494208081193718E-2</v>
      </c>
    </row>
    <row r="62" spans="6:8" x14ac:dyDescent="0.3">
      <c r="F62" s="27">
        <v>45298</v>
      </c>
      <c r="G62" s="25">
        <v>0.59279836240694661</v>
      </c>
      <c r="H62" s="23">
        <v>5.1545549915436945E-2</v>
      </c>
    </row>
  </sheetData>
  <mergeCells count="1">
    <mergeCell ref="J4:L4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"/>
  <sheetViews>
    <sheetView showGridLines="0" workbookViewId="0">
      <selection activeCell="D11" sqref="D11"/>
    </sheetView>
  </sheetViews>
  <sheetFormatPr defaultRowHeight="16.5" x14ac:dyDescent="0.3"/>
  <cols>
    <col min="1" max="1" width="10.7109375" bestFit="1" customWidth="1"/>
    <col min="2" max="2" width="10.5703125" bestFit="1" customWidth="1"/>
    <col min="3" max="3" width="9.42578125" bestFit="1" customWidth="1"/>
    <col min="4" max="4" width="10.28515625" bestFit="1" customWidth="1"/>
  </cols>
  <sheetData>
    <row r="1" spans="1:4" x14ac:dyDescent="0.3">
      <c r="A1" s="39" t="s">
        <v>25</v>
      </c>
      <c r="B1" s="47" t="s">
        <v>43</v>
      </c>
      <c r="C1" s="48" t="s">
        <v>44</v>
      </c>
      <c r="D1" s="49" t="s">
        <v>45</v>
      </c>
    </row>
    <row r="2" spans="1:4" x14ac:dyDescent="0.3">
      <c r="A2" s="26">
        <f>'Shibor Swap Curve'!F24</f>
        <v>41736</v>
      </c>
      <c r="B2" s="30">
        <f>'Shibor Swap Curve'!H24</f>
        <v>5.5105393776505099E-2</v>
      </c>
      <c r="C2" s="31">
        <f>'Repo Swap Curve'!H23</f>
        <v>4.9354245899987138E-2</v>
      </c>
      <c r="D2" s="36">
        <f>(B2-C2)*10000</f>
        <v>57.511478765179604</v>
      </c>
    </row>
    <row r="3" spans="1:4" x14ac:dyDescent="0.3">
      <c r="A3" s="26">
        <f>'Shibor Swap Curve'!F25</f>
        <v>41827</v>
      </c>
      <c r="B3" s="32">
        <f>'Shibor Swap Curve'!H25</f>
        <v>5.5262092237168672E-2</v>
      </c>
      <c r="C3" s="33">
        <f>'Repo Swap Curve'!H24</f>
        <v>4.9325417485414566E-2</v>
      </c>
      <c r="D3" s="37">
        <f t="shared" ref="D3:D41" si="0">(B3-C3)*10000</f>
        <v>59.366747517541064</v>
      </c>
    </row>
    <row r="4" spans="1:4" x14ac:dyDescent="0.3">
      <c r="A4" s="26">
        <f>'Shibor Swap Curve'!F26</f>
        <v>41919</v>
      </c>
      <c r="B4" s="32">
        <f>'Shibor Swap Curve'!H26</f>
        <v>5.5544819682046158E-2</v>
      </c>
      <c r="C4" s="33">
        <f>'Repo Swap Curve'!H25</f>
        <v>4.9156916383910877E-2</v>
      </c>
      <c r="D4" s="37">
        <f t="shared" si="0"/>
        <v>63.879032981352807</v>
      </c>
    </row>
    <row r="5" spans="1:4" x14ac:dyDescent="0.3">
      <c r="A5" s="26">
        <f>'Shibor Swap Curve'!F27</f>
        <v>42011</v>
      </c>
      <c r="B5" s="32">
        <f>'Shibor Swap Curve'!H27</f>
        <v>5.5782648327234681E-2</v>
      </c>
      <c r="C5" s="33">
        <f>'Repo Swap Curve'!H26</f>
        <v>4.9017872530704519E-2</v>
      </c>
      <c r="D5" s="37">
        <f t="shared" si="0"/>
        <v>67.647757965301622</v>
      </c>
    </row>
    <row r="6" spans="1:4" x14ac:dyDescent="0.3">
      <c r="A6" s="26">
        <f>'Shibor Swap Curve'!F28</f>
        <v>42101</v>
      </c>
      <c r="B6" s="32">
        <f>'Shibor Swap Curve'!H28</f>
        <v>5.5824707693198944E-2</v>
      </c>
      <c r="C6" s="33">
        <f>'Repo Swap Curve'!H27</f>
        <v>4.9013682773601616E-2</v>
      </c>
      <c r="D6" s="37">
        <f t="shared" si="0"/>
        <v>68.110249195973282</v>
      </c>
    </row>
    <row r="7" spans="1:4" x14ac:dyDescent="0.3">
      <c r="A7" s="26">
        <f>'Shibor Swap Curve'!F29</f>
        <v>42192</v>
      </c>
      <c r="B7" s="32">
        <f>'Shibor Swap Curve'!H29</f>
        <v>5.5852205484111281E-2</v>
      </c>
      <c r="C7" s="33">
        <f>'Repo Swap Curve'!H28</f>
        <v>4.9016385825325214E-2</v>
      </c>
      <c r="D7" s="37">
        <f t="shared" si="0"/>
        <v>68.358196587860675</v>
      </c>
    </row>
    <row r="8" spans="1:4" x14ac:dyDescent="0.3">
      <c r="A8" s="26">
        <f>'Shibor Swap Curve'!F30</f>
        <v>42284</v>
      </c>
      <c r="B8" s="32">
        <f>'Shibor Swap Curve'!H30</f>
        <v>5.5872031477559023E-2</v>
      </c>
      <c r="C8" s="33">
        <f>'Repo Swap Curve'!H29</f>
        <v>4.9018334734091458E-2</v>
      </c>
      <c r="D8" s="37">
        <f t="shared" si="0"/>
        <v>68.536967434675645</v>
      </c>
    </row>
    <row r="9" spans="1:4" x14ac:dyDescent="0.3">
      <c r="A9" s="26">
        <f>'Shibor Swap Curve'!F31</f>
        <v>42376</v>
      </c>
      <c r="B9" s="32">
        <f>'Shibor Swap Curve'!H31</f>
        <v>5.588686023430213E-2</v>
      </c>
      <c r="C9" s="33">
        <f>'Repo Swap Curve'!H30</f>
        <v>4.9019792411059193E-2</v>
      </c>
      <c r="D9" s="37">
        <f t="shared" si="0"/>
        <v>68.670678232429367</v>
      </c>
    </row>
    <row r="10" spans="1:4" x14ac:dyDescent="0.3">
      <c r="A10" s="26">
        <f>'Shibor Swap Curve'!F32</f>
        <v>42467</v>
      </c>
      <c r="B10" s="32">
        <f>'Shibor Swap Curve'!H32</f>
        <v>5.5910484245892213E-2</v>
      </c>
      <c r="C10" s="33">
        <f>'Repo Swap Curve'!H31</f>
        <v>4.9155944446215044E-2</v>
      </c>
      <c r="D10" s="37">
        <f t="shared" si="0"/>
        <v>67.545397996771683</v>
      </c>
    </row>
    <row r="11" spans="1:4" x14ac:dyDescent="0.3">
      <c r="A11" s="26">
        <f>'Shibor Swap Curve'!F33</f>
        <v>42558</v>
      </c>
      <c r="B11" s="32">
        <f>'Shibor Swap Curve'!H33</f>
        <v>5.5929516104595851E-2</v>
      </c>
      <c r="C11" s="33">
        <f>'Repo Swap Curve'!H32</f>
        <v>4.9275055626733705E-2</v>
      </c>
      <c r="D11" s="37">
        <f t="shared" si="0"/>
        <v>66.544604778621462</v>
      </c>
    </row>
    <row r="12" spans="1:4" x14ac:dyDescent="0.3">
      <c r="A12" s="26">
        <f>'Shibor Swap Curve'!F34</f>
        <v>42650</v>
      </c>
      <c r="B12" s="32">
        <f>'Shibor Swap Curve'!H34</f>
        <v>5.5945250029901236E-2</v>
      </c>
      <c r="C12" s="33">
        <f>'Repo Swap Curve'!H33</f>
        <v>4.9373526640337978E-2</v>
      </c>
      <c r="D12" s="37">
        <f t="shared" si="0"/>
        <v>65.717233895632589</v>
      </c>
    </row>
    <row r="13" spans="1:4" x14ac:dyDescent="0.3">
      <c r="A13" s="26">
        <f>'Shibor Swap Curve'!F35</f>
        <v>42742</v>
      </c>
      <c r="B13" s="32">
        <f>'Shibor Swap Curve'!H35</f>
        <v>5.5958342493294039E-2</v>
      </c>
      <c r="C13" s="33">
        <f>'Repo Swap Curve'!H34</f>
        <v>4.9455466023921035E-2</v>
      </c>
      <c r="D13" s="37">
        <f t="shared" si="0"/>
        <v>65.028764693730039</v>
      </c>
    </row>
    <row r="14" spans="1:4" x14ac:dyDescent="0.3">
      <c r="A14" s="26">
        <f>'Shibor Swap Curve'!F36</f>
        <v>42832</v>
      </c>
      <c r="B14" s="32">
        <f>'Shibor Swap Curve'!H36</f>
        <v>5.59742713651303E-2</v>
      </c>
      <c r="C14" s="33">
        <f>'Repo Swap Curve'!H35</f>
        <v>4.9533765570684139E-2</v>
      </c>
      <c r="D14" s="37">
        <f t="shared" si="0"/>
        <v>64.405057944461603</v>
      </c>
    </row>
    <row r="15" spans="1:4" x14ac:dyDescent="0.3">
      <c r="A15" s="26">
        <f>'Shibor Swap Curve'!F37</f>
        <v>42923</v>
      </c>
      <c r="B15" s="32">
        <f>'Shibor Swap Curve'!H37</f>
        <v>5.5988202961795921E-2</v>
      </c>
      <c r="C15" s="33">
        <f>'Repo Swap Curve'!H36</f>
        <v>4.9601936605846067E-2</v>
      </c>
      <c r="D15" s="37">
        <f t="shared" si="0"/>
        <v>63.862663559498543</v>
      </c>
    </row>
    <row r="16" spans="1:4" x14ac:dyDescent="0.3">
      <c r="A16" s="26">
        <f>'Shibor Swap Curve'!F38</f>
        <v>43015</v>
      </c>
      <c r="B16" s="32">
        <f>'Shibor Swap Curve'!H38</f>
        <v>5.6000404892902908E-2</v>
      </c>
      <c r="C16" s="33">
        <f>'Repo Swap Curve'!H37</f>
        <v>4.9661643924002297E-2</v>
      </c>
      <c r="D16" s="37">
        <f t="shared" si="0"/>
        <v>63.387609689006112</v>
      </c>
    </row>
    <row r="17" spans="1:4" x14ac:dyDescent="0.3">
      <c r="A17" s="26">
        <f>'Shibor Swap Curve'!F39</f>
        <v>43107</v>
      </c>
      <c r="B17" s="32">
        <f>'Shibor Swap Curve'!H39</f>
        <v>5.6011070098942337E-2</v>
      </c>
      <c r="C17" s="33">
        <f>'Repo Swap Curve'!H38</f>
        <v>4.9713831634669969E-2</v>
      </c>
      <c r="D17" s="37">
        <f t="shared" si="0"/>
        <v>62.972384642723675</v>
      </c>
    </row>
    <row r="18" spans="1:4" x14ac:dyDescent="0.3">
      <c r="A18" s="26">
        <f>'Shibor Swap Curve'!F40</f>
        <v>43197</v>
      </c>
      <c r="B18" s="32">
        <f>'Shibor Swap Curve'!H40</f>
        <v>5.6017691586777947E-2</v>
      </c>
      <c r="C18" s="33">
        <f>'Repo Swap Curve'!H39</f>
        <v>4.9779883201240466E-2</v>
      </c>
      <c r="D18" s="37">
        <f t="shared" si="0"/>
        <v>62.378083855374811</v>
      </c>
    </row>
    <row r="19" spans="1:4" x14ac:dyDescent="0.3">
      <c r="A19" s="26">
        <f>'Shibor Swap Curve'!F41</f>
        <v>43288</v>
      </c>
      <c r="B19" s="32">
        <f>'Shibor Swap Curve'!H41</f>
        <v>5.6023620872935338E-2</v>
      </c>
      <c r="C19" s="33">
        <f>'Repo Swap Curve'!H40</f>
        <v>4.9839762411821135E-2</v>
      </c>
      <c r="D19" s="37">
        <f t="shared" si="0"/>
        <v>61.838584611142025</v>
      </c>
    </row>
    <row r="20" spans="1:4" x14ac:dyDescent="0.3">
      <c r="A20" s="26">
        <f>'Shibor Swap Curve'!F42</f>
        <v>43380</v>
      </c>
      <c r="B20" s="32">
        <f>'Shibor Swap Curve'!H42</f>
        <v>5.6028982684540124E-2</v>
      </c>
      <c r="C20" s="33">
        <f>'Repo Swap Curve'!H41</f>
        <v>4.9893910759135893E-2</v>
      </c>
      <c r="D20" s="37">
        <f t="shared" si="0"/>
        <v>61.350719254042311</v>
      </c>
    </row>
    <row r="21" spans="1:4" x14ac:dyDescent="0.3">
      <c r="A21" s="26">
        <f>'Shibor Swap Curve'!F43</f>
        <v>43472</v>
      </c>
      <c r="B21" s="32">
        <f>'Shibor Swap Curve'!H43</f>
        <v>5.6033804204066485E-2</v>
      </c>
      <c r="C21" s="33">
        <f>'Repo Swap Curve'!H42</f>
        <v>4.9942602756009292E-2</v>
      </c>
      <c r="D21" s="37">
        <f t="shared" si="0"/>
        <v>60.912014480571926</v>
      </c>
    </row>
    <row r="22" spans="1:4" x14ac:dyDescent="0.3">
      <c r="A22" s="26">
        <f>'Shibor Swap Curve'!F44</f>
        <v>43562</v>
      </c>
      <c r="B22" s="32">
        <f>'Shibor Swap Curve'!H44</f>
        <v>5.6104711142510873E-2</v>
      </c>
      <c r="C22" s="33">
        <f>'Repo Swap Curve'!H43</f>
        <v>5.0061039317896794E-2</v>
      </c>
      <c r="D22" s="37">
        <f t="shared" si="0"/>
        <v>60.436718246140792</v>
      </c>
    </row>
    <row r="23" spans="1:4" x14ac:dyDescent="0.3">
      <c r="A23" s="26">
        <f>'Shibor Swap Curve'!F45</f>
        <v>43653</v>
      </c>
      <c r="B23" s="32">
        <f>'Shibor Swap Curve'!H45</f>
        <v>5.6170662924897509E-2</v>
      </c>
      <c r="C23" s="33">
        <f>'Repo Swap Curve'!H44</f>
        <v>5.017612431884224E-2</v>
      </c>
      <c r="D23" s="37">
        <f t="shared" si="0"/>
        <v>59.945386060552693</v>
      </c>
    </row>
    <row r="24" spans="1:4" x14ac:dyDescent="0.3">
      <c r="A24" s="26">
        <f>'Shibor Swap Curve'!F46</f>
        <v>43745</v>
      </c>
      <c r="B24" s="32">
        <f>'Shibor Swap Curve'!H46</f>
        <v>5.6231526300889519E-2</v>
      </c>
      <c r="C24" s="33">
        <f>'Repo Swap Curve'!H45</f>
        <v>5.0282330116928516E-2</v>
      </c>
      <c r="D24" s="37">
        <f t="shared" si="0"/>
        <v>59.491961839610028</v>
      </c>
    </row>
    <row r="25" spans="1:4" x14ac:dyDescent="0.3">
      <c r="A25" s="26">
        <f>'Shibor Swap Curve'!F47</f>
        <v>43837</v>
      </c>
      <c r="B25" s="32">
        <f>'Shibor Swap Curve'!H47</f>
        <v>5.6287278375565922E-2</v>
      </c>
      <c r="C25" s="33">
        <f>'Repo Swap Curve'!H46</f>
        <v>5.0379616760816766E-2</v>
      </c>
      <c r="D25" s="37">
        <f t="shared" si="0"/>
        <v>59.076616147491556</v>
      </c>
    </row>
    <row r="26" spans="1:4" x14ac:dyDescent="0.3">
      <c r="A26" s="26">
        <f>'Shibor Swap Curve'!F48</f>
        <v>43928</v>
      </c>
      <c r="B26" s="32">
        <f>'Shibor Swap Curve'!H48</f>
        <v>5.6338002130623753E-2</v>
      </c>
      <c r="C26" s="33">
        <f>'Repo Swap Curve'!H47</f>
        <v>5.0468129052487161E-2</v>
      </c>
      <c r="D26" s="37">
        <f t="shared" si="0"/>
        <v>58.698730781365924</v>
      </c>
    </row>
    <row r="27" spans="1:4" x14ac:dyDescent="0.3">
      <c r="A27" s="26">
        <f>'Shibor Swap Curve'!F49</f>
        <v>44019</v>
      </c>
      <c r="B27" s="32">
        <f>'Shibor Swap Curve'!H49</f>
        <v>5.6384835568184528E-2</v>
      </c>
      <c r="C27" s="33">
        <f>'Repo Swap Curve'!H48</f>
        <v>5.054985279081408E-2</v>
      </c>
      <c r="D27" s="37">
        <f t="shared" si="0"/>
        <v>58.349827773704483</v>
      </c>
    </row>
    <row r="28" spans="1:4" x14ac:dyDescent="0.3">
      <c r="A28" s="26">
        <f>'Shibor Swap Curve'!F50</f>
        <v>44111</v>
      </c>
      <c r="B28" s="32">
        <f>'Shibor Swap Curve'!H50</f>
        <v>5.6428668567383274E-2</v>
      </c>
      <c r="C28" s="33">
        <f>'Repo Swap Curve'!H49</f>
        <v>5.0626340803293444E-2</v>
      </c>
      <c r="D28" s="37">
        <f t="shared" si="0"/>
        <v>58.023277640898293</v>
      </c>
    </row>
    <row r="29" spans="1:4" x14ac:dyDescent="0.3">
      <c r="A29" s="26">
        <f>'Shibor Swap Curve'!F51</f>
        <v>44203</v>
      </c>
      <c r="B29" s="32">
        <f>'Shibor Swap Curve'!H51</f>
        <v>5.646934737344448E-2</v>
      </c>
      <c r="C29" s="33">
        <f>'Repo Swap Curve'!H50</f>
        <v>5.0697324789845469E-2</v>
      </c>
      <c r="D29" s="37">
        <f t="shared" si="0"/>
        <v>57.720225835990114</v>
      </c>
    </row>
    <row r="30" spans="1:4" x14ac:dyDescent="0.3">
      <c r="A30" s="26">
        <f>'Shibor Swap Curve'!F52</f>
        <v>44293</v>
      </c>
      <c r="B30" s="32">
        <f>'Shibor Swap Curve'!H52</f>
        <v>5.6576687913070411E-2</v>
      </c>
      <c r="C30" s="33">
        <f>'Repo Swap Curve'!H51</f>
        <v>5.0791247199666094E-2</v>
      </c>
      <c r="D30" s="37">
        <f t="shared" si="0"/>
        <v>57.854407134043178</v>
      </c>
    </row>
    <row r="31" spans="1:4" x14ac:dyDescent="0.3">
      <c r="A31" s="26">
        <f>'Shibor Swap Curve'!F53</f>
        <v>44384</v>
      </c>
      <c r="B31" s="32">
        <f>'Shibor Swap Curve'!H53</f>
        <v>5.6678818282990311E-2</v>
      </c>
      <c r="C31" s="33">
        <f>'Repo Swap Curve'!H52</f>
        <v>5.0882347189177092E-2</v>
      </c>
      <c r="D31" s="37">
        <f t="shared" si="0"/>
        <v>57.964710938132185</v>
      </c>
    </row>
    <row r="32" spans="1:4" x14ac:dyDescent="0.3">
      <c r="A32" s="26">
        <f>'Shibor Swap Curve'!F54</f>
        <v>44476</v>
      </c>
      <c r="B32" s="32">
        <f>'Shibor Swap Curve'!H54</f>
        <v>5.6775394201152685E-2</v>
      </c>
      <c r="C32" s="33">
        <f>'Repo Swap Curve'!H53</f>
        <v>5.0968492624061126E-2</v>
      </c>
      <c r="D32" s="37">
        <f t="shared" si="0"/>
        <v>58.069015770915584</v>
      </c>
    </row>
    <row r="33" spans="1:4" x14ac:dyDescent="0.3">
      <c r="A33" s="26">
        <f>'Shibor Swap Curve'!F55</f>
        <v>44568</v>
      </c>
      <c r="B33" s="32">
        <f>'Shibor Swap Curve'!H55</f>
        <v>5.6865888678883245E-2</v>
      </c>
      <c r="C33" s="33">
        <f>'Repo Swap Curve'!H54</f>
        <v>5.1049213431970906E-2</v>
      </c>
      <c r="D33" s="37">
        <f t="shared" si="0"/>
        <v>58.166752469123381</v>
      </c>
    </row>
    <row r="34" spans="1:4" x14ac:dyDescent="0.3">
      <c r="A34" s="26">
        <f>'Shibor Swap Curve'!F56</f>
        <v>44658</v>
      </c>
      <c r="B34" s="32">
        <f>'Shibor Swap Curve'!H56</f>
        <v>5.6949066631846658E-2</v>
      </c>
      <c r="C34" s="33">
        <f>'Repo Swap Curve'!H55</f>
        <v>5.1123407921312931E-2</v>
      </c>
      <c r="D34" s="37">
        <f t="shared" si="0"/>
        <v>58.256587105337267</v>
      </c>
    </row>
    <row r="35" spans="1:4" x14ac:dyDescent="0.3">
      <c r="A35" s="26">
        <f>'Shibor Swap Curve'!F57</f>
        <v>44749</v>
      </c>
      <c r="B35" s="32">
        <f>'Shibor Swap Curve'!H57</f>
        <v>5.7028263051257522E-2</v>
      </c>
      <c r="C35" s="33">
        <f>'Repo Swap Curve'!H56</f>
        <v>5.1194050894439361E-2</v>
      </c>
      <c r="D35" s="37">
        <f t="shared" si="0"/>
        <v>58.342121568181611</v>
      </c>
    </row>
    <row r="36" spans="1:4" x14ac:dyDescent="0.3">
      <c r="A36" s="26">
        <f>'Shibor Swap Curve'!F58</f>
        <v>44841</v>
      </c>
      <c r="B36" s="32">
        <f>'Shibor Swap Curve'!H58</f>
        <v>5.7103743780434056E-2</v>
      </c>
      <c r="C36" s="33">
        <f>'Repo Swap Curve'!H57</f>
        <v>5.1261379482807928E-2</v>
      </c>
      <c r="D36" s="37">
        <f t="shared" si="0"/>
        <v>58.423642976261277</v>
      </c>
    </row>
    <row r="37" spans="1:4" x14ac:dyDescent="0.3">
      <c r="A37" s="26">
        <f>'Shibor Swap Curve'!F59</f>
        <v>44933</v>
      </c>
      <c r="B37" s="32">
        <f>'Shibor Swap Curve'!H59</f>
        <v>5.7174999242142248E-2</v>
      </c>
      <c r="C37" s="33">
        <f>'Repo Swap Curve'!H58</f>
        <v>5.1324939145025054E-2</v>
      </c>
      <c r="D37" s="37">
        <f t="shared" si="0"/>
        <v>58.500600971171934</v>
      </c>
    </row>
    <row r="38" spans="1:4" x14ac:dyDescent="0.3">
      <c r="A38" s="26">
        <f>'Shibor Swap Curve'!F60</f>
        <v>45023</v>
      </c>
      <c r="B38" s="32">
        <f>'Shibor Swap Curve'!H60</f>
        <v>5.7240948914523804E-2</v>
      </c>
      <c r="C38" s="33">
        <f>'Repo Swap Curve'!H59</f>
        <v>5.1383766058771929E-2</v>
      </c>
      <c r="D38" s="37">
        <f t="shared" si="0"/>
        <v>58.571828557518742</v>
      </c>
    </row>
    <row r="39" spans="1:4" x14ac:dyDescent="0.3">
      <c r="A39" s="26">
        <f>'Shibor Swap Curve'!F61</f>
        <v>45114</v>
      </c>
      <c r="B39" s="32">
        <f>'Shibor Swap Curve'!H61</f>
        <v>5.7304151106481217E-2</v>
      </c>
      <c r="C39" s="33">
        <f>'Repo Swap Curve'!H60</f>
        <v>5.1440142228063319E-2</v>
      </c>
      <c r="D39" s="37">
        <f t="shared" si="0"/>
        <v>58.640088784178978</v>
      </c>
    </row>
    <row r="40" spans="1:4" x14ac:dyDescent="0.3">
      <c r="A40" s="26">
        <f>'Shibor Swap Curve'!F62</f>
        <v>45206</v>
      </c>
      <c r="B40" s="32">
        <f>'Shibor Swap Curve'!H62</f>
        <v>5.7364763249357201E-2</v>
      </c>
      <c r="C40" s="33">
        <f>'Repo Swap Curve'!H61</f>
        <v>5.1494208081193718E-2</v>
      </c>
      <c r="D40" s="37">
        <f t="shared" si="0"/>
        <v>58.70555168163483</v>
      </c>
    </row>
    <row r="41" spans="1:4" x14ac:dyDescent="0.3">
      <c r="A41" s="27">
        <f>'Shibor Swap Curve'!F63</f>
        <v>45298</v>
      </c>
      <c r="B41" s="34">
        <f>'Shibor Swap Curve'!H63</f>
        <v>5.742232154932813E-2</v>
      </c>
      <c r="C41" s="35">
        <f>'Repo Swap Curve'!H62</f>
        <v>5.1545549915436945E-2</v>
      </c>
      <c r="D41" s="38">
        <f t="shared" si="0"/>
        <v>58.767716338911853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Shibor Swap Curve</vt:lpstr>
      <vt:lpstr>Repo Swap Curve</vt:lpstr>
      <vt:lpstr>Comparing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wegamekinglc</dc:creator>
  <cp:lastModifiedBy>DELL</cp:lastModifiedBy>
  <dcterms:created xsi:type="dcterms:W3CDTF">2014-01-10T05:52:26Z</dcterms:created>
  <dcterms:modified xsi:type="dcterms:W3CDTF">2014-07-03T09:23:15Z</dcterms:modified>
</cp:coreProperties>
</file>